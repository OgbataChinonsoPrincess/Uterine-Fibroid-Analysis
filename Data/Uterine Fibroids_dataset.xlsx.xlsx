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 ANALYSIS\"/>
    </mc:Choice>
  </mc:AlternateContent>
  <xr:revisionPtr revIDLastSave="0" documentId="13_ncr:1_{AF916F93-ADED-43F3-9864-2E1BE70645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terine Fibriod DataSet" sheetId="1" r:id="rId1"/>
    <sheet name="Data Quality" sheetId="4" r:id="rId2"/>
    <sheet name="Pivot Tables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4" l="1"/>
  <c r="F14" i="4"/>
  <c r="F9" i="4"/>
  <c r="F4" i="4"/>
</calcChain>
</file>

<file path=xl/sharedStrings.xml><?xml version="1.0" encoding="utf-8"?>
<sst xmlns="http://schemas.openxmlformats.org/spreadsheetml/2006/main" count="1841" uniqueCount="256">
  <si>
    <t>Patient_ID</t>
  </si>
  <si>
    <t>Age_Group</t>
  </si>
  <si>
    <t>Parity</t>
  </si>
  <si>
    <t>Education_Level</t>
  </si>
  <si>
    <t>Primary_Presentation</t>
  </si>
  <si>
    <t>Uterine_Size</t>
  </si>
  <si>
    <t>Fibroid_Location</t>
  </si>
  <si>
    <t>Surgery_Performed</t>
  </si>
  <si>
    <t>Postoperative_Complication</t>
  </si>
  <si>
    <t>UF001</t>
  </si>
  <si>
    <t>UF002</t>
  </si>
  <si>
    <t>UF003</t>
  </si>
  <si>
    <t>UF004</t>
  </si>
  <si>
    <t>UF005</t>
  </si>
  <si>
    <t>UF006</t>
  </si>
  <si>
    <t>UF007</t>
  </si>
  <si>
    <t>UF008</t>
  </si>
  <si>
    <t>UF009</t>
  </si>
  <si>
    <t>UF010</t>
  </si>
  <si>
    <t>UF011</t>
  </si>
  <si>
    <t>UF012</t>
  </si>
  <si>
    <t>UF013</t>
  </si>
  <si>
    <t>UF014</t>
  </si>
  <si>
    <t>UF015</t>
  </si>
  <si>
    <t>UF016</t>
  </si>
  <si>
    <t>UF017</t>
  </si>
  <si>
    <t>UF018</t>
  </si>
  <si>
    <t>UF019</t>
  </si>
  <si>
    <t>UF020</t>
  </si>
  <si>
    <t>UF021</t>
  </si>
  <si>
    <t>UF022</t>
  </si>
  <si>
    <t>UF023</t>
  </si>
  <si>
    <t>UF024</t>
  </si>
  <si>
    <t>UF025</t>
  </si>
  <si>
    <t>UF026</t>
  </si>
  <si>
    <t>UF027</t>
  </si>
  <si>
    <t>UF028</t>
  </si>
  <si>
    <t>UF029</t>
  </si>
  <si>
    <t>UF030</t>
  </si>
  <si>
    <t>UF031</t>
  </si>
  <si>
    <t>UF032</t>
  </si>
  <si>
    <t>UF033</t>
  </si>
  <si>
    <t>UF034</t>
  </si>
  <si>
    <t>UF035</t>
  </si>
  <si>
    <t>UF036</t>
  </si>
  <si>
    <t>UF037</t>
  </si>
  <si>
    <t>UF038</t>
  </si>
  <si>
    <t>UF039</t>
  </si>
  <si>
    <t>UF040</t>
  </si>
  <si>
    <t>UF041</t>
  </si>
  <si>
    <t>UF042</t>
  </si>
  <si>
    <t>UF043</t>
  </si>
  <si>
    <t>UF044</t>
  </si>
  <si>
    <t>UF045</t>
  </si>
  <si>
    <t>UF046</t>
  </si>
  <si>
    <t>UF047</t>
  </si>
  <si>
    <t>UF048</t>
  </si>
  <si>
    <t>UF049</t>
  </si>
  <si>
    <t>UF050</t>
  </si>
  <si>
    <t>UF051</t>
  </si>
  <si>
    <t>UF052</t>
  </si>
  <si>
    <t>UF053</t>
  </si>
  <si>
    <t>UF054</t>
  </si>
  <si>
    <t>UF055</t>
  </si>
  <si>
    <t>UF056</t>
  </si>
  <si>
    <t>UF057</t>
  </si>
  <si>
    <t>UF058</t>
  </si>
  <si>
    <t>UF059</t>
  </si>
  <si>
    <t>UF060</t>
  </si>
  <si>
    <t>UF061</t>
  </si>
  <si>
    <t>UF062</t>
  </si>
  <si>
    <t>UF063</t>
  </si>
  <si>
    <t>UF064</t>
  </si>
  <si>
    <t>UF065</t>
  </si>
  <si>
    <t>UF066</t>
  </si>
  <si>
    <t>UF067</t>
  </si>
  <si>
    <t>UF068</t>
  </si>
  <si>
    <t>UF069</t>
  </si>
  <si>
    <t>UF070</t>
  </si>
  <si>
    <t>UF071</t>
  </si>
  <si>
    <t>UF072</t>
  </si>
  <si>
    <t>UF073</t>
  </si>
  <si>
    <t>UF074</t>
  </si>
  <si>
    <t>UF075</t>
  </si>
  <si>
    <t>UF076</t>
  </si>
  <si>
    <t>UF077</t>
  </si>
  <si>
    <t>UF078</t>
  </si>
  <si>
    <t>UF079</t>
  </si>
  <si>
    <t>UF080</t>
  </si>
  <si>
    <t>UF081</t>
  </si>
  <si>
    <t>UF082</t>
  </si>
  <si>
    <t>UF083</t>
  </si>
  <si>
    <t>UF084</t>
  </si>
  <si>
    <t>UF085</t>
  </si>
  <si>
    <t>UF086</t>
  </si>
  <si>
    <t>UF087</t>
  </si>
  <si>
    <t>UF088</t>
  </si>
  <si>
    <t>UF089</t>
  </si>
  <si>
    <t>UF090</t>
  </si>
  <si>
    <t>UF091</t>
  </si>
  <si>
    <t>UF092</t>
  </si>
  <si>
    <t>UF093</t>
  </si>
  <si>
    <t>UF094</t>
  </si>
  <si>
    <t>UF095</t>
  </si>
  <si>
    <t>UF096</t>
  </si>
  <si>
    <t>UF097</t>
  </si>
  <si>
    <t>UF098</t>
  </si>
  <si>
    <t>UF099</t>
  </si>
  <si>
    <t>UF100</t>
  </si>
  <si>
    <t>UF101</t>
  </si>
  <si>
    <t>UF102</t>
  </si>
  <si>
    <t>UF103</t>
  </si>
  <si>
    <t>UF104</t>
  </si>
  <si>
    <t>UF105</t>
  </si>
  <si>
    <t>UF106</t>
  </si>
  <si>
    <t>UF107</t>
  </si>
  <si>
    <t>UF108</t>
  </si>
  <si>
    <t>UF109</t>
  </si>
  <si>
    <t>UF110</t>
  </si>
  <si>
    <t>UF111</t>
  </si>
  <si>
    <t>UF112</t>
  </si>
  <si>
    <t>UF113</t>
  </si>
  <si>
    <t>UF114</t>
  </si>
  <si>
    <t>UF115</t>
  </si>
  <si>
    <t>UF116</t>
  </si>
  <si>
    <t>UF117</t>
  </si>
  <si>
    <t>UF118</t>
  </si>
  <si>
    <t>UF119</t>
  </si>
  <si>
    <t>UF120</t>
  </si>
  <si>
    <t>UF121</t>
  </si>
  <si>
    <t>UF122</t>
  </si>
  <si>
    <t>UF123</t>
  </si>
  <si>
    <t>UF124</t>
  </si>
  <si>
    <t>UF125</t>
  </si>
  <si>
    <t>UF126</t>
  </si>
  <si>
    <t>UF127</t>
  </si>
  <si>
    <t>UF128</t>
  </si>
  <si>
    <t>UF129</t>
  </si>
  <si>
    <t>UF130</t>
  </si>
  <si>
    <t>UF131</t>
  </si>
  <si>
    <t>UF132</t>
  </si>
  <si>
    <t>UF133</t>
  </si>
  <si>
    <t>UF134</t>
  </si>
  <si>
    <t>UF135</t>
  </si>
  <si>
    <t>UF136</t>
  </si>
  <si>
    <t>UF137</t>
  </si>
  <si>
    <t>UF138</t>
  </si>
  <si>
    <t>UF139</t>
  </si>
  <si>
    <t>UF140</t>
  </si>
  <si>
    <t>UF141</t>
  </si>
  <si>
    <t>UF142</t>
  </si>
  <si>
    <t>UF143</t>
  </si>
  <si>
    <t>UF144</t>
  </si>
  <si>
    <t>UF145</t>
  </si>
  <si>
    <t>UF146</t>
  </si>
  <si>
    <t>UF147</t>
  </si>
  <si>
    <t>UF148</t>
  </si>
  <si>
    <t>UF149</t>
  </si>
  <si>
    <t>UF150</t>
  </si>
  <si>
    <t>UF151</t>
  </si>
  <si>
    <t>UF152</t>
  </si>
  <si>
    <t>UF153</t>
  </si>
  <si>
    <t>UF154</t>
  </si>
  <si>
    <t>UF155</t>
  </si>
  <si>
    <t>UF156</t>
  </si>
  <si>
    <t>UF157</t>
  </si>
  <si>
    <t>UF158</t>
  </si>
  <si>
    <t>UF159</t>
  </si>
  <si>
    <t>UF160</t>
  </si>
  <si>
    <t>UF161</t>
  </si>
  <si>
    <t>UF162</t>
  </si>
  <si>
    <t>UF163</t>
  </si>
  <si>
    <t>UF164</t>
  </si>
  <si>
    <t>UF165</t>
  </si>
  <si>
    <t>UF166</t>
  </si>
  <si>
    <t>UF167</t>
  </si>
  <si>
    <t>UF168</t>
  </si>
  <si>
    <t>UF169</t>
  </si>
  <si>
    <t>UF170</t>
  </si>
  <si>
    <t>UF171</t>
  </si>
  <si>
    <t>UF172</t>
  </si>
  <si>
    <t>UF173</t>
  </si>
  <si>
    <t>UF174</t>
  </si>
  <si>
    <t>UF175</t>
  </si>
  <si>
    <t>UF176</t>
  </si>
  <si>
    <t>UF177</t>
  </si>
  <si>
    <t>UF178</t>
  </si>
  <si>
    <t>UF179</t>
  </si>
  <si>
    <t>UF180</t>
  </si>
  <si>
    <t>UF181</t>
  </si>
  <si>
    <t>UF182</t>
  </si>
  <si>
    <t>UF183</t>
  </si>
  <si>
    <t>UF184</t>
  </si>
  <si>
    <t>UF185</t>
  </si>
  <si>
    <t>UF186</t>
  </si>
  <si>
    <t>UF187</t>
  </si>
  <si>
    <t>UF188</t>
  </si>
  <si>
    <t>UF189</t>
  </si>
  <si>
    <t>UF190</t>
  </si>
  <si>
    <t>UF191</t>
  </si>
  <si>
    <t>UF192</t>
  </si>
  <si>
    <t>UF193</t>
  </si>
  <si>
    <t>UF194</t>
  </si>
  <si>
    <t>UF195</t>
  </si>
  <si>
    <t>UF196</t>
  </si>
  <si>
    <t>UF197</t>
  </si>
  <si>
    <t>UF198</t>
  </si>
  <si>
    <t>30-39</t>
  </si>
  <si>
    <t>20-29</t>
  </si>
  <si>
    <t>40-49</t>
  </si>
  <si>
    <t>50+</t>
  </si>
  <si>
    <t>Nulliparous</t>
  </si>
  <si>
    <t>Multiparous</t>
  </si>
  <si>
    <t>Primiparous</t>
  </si>
  <si>
    <t>Tertiary</t>
  </si>
  <si>
    <t>No Formal Education</t>
  </si>
  <si>
    <t>Secondary</t>
  </si>
  <si>
    <t>Primary</t>
  </si>
  <si>
    <t>Abdominal Pain</t>
  </si>
  <si>
    <t>Menorrhagia</t>
  </si>
  <si>
    <t>Abdominal Mass</t>
  </si>
  <si>
    <t>Infertility</t>
  </si>
  <si>
    <t>18-20 weeks</t>
  </si>
  <si>
    <t>&gt;20 weeks</t>
  </si>
  <si>
    <t>15-17 weeks</t>
  </si>
  <si>
    <t>12-14 weeks</t>
  </si>
  <si>
    <t>Intramural</t>
  </si>
  <si>
    <t>Submucous</t>
  </si>
  <si>
    <t>Subserosal</t>
  </si>
  <si>
    <t>Cervical</t>
  </si>
  <si>
    <t>Myomectomy</t>
  </si>
  <si>
    <t>Total Abdominal Hysterectomy</t>
  </si>
  <si>
    <t>Myomectomy + Tuboplasty</t>
  </si>
  <si>
    <t>Vaginal Polypectomy</t>
  </si>
  <si>
    <t>None</t>
  </si>
  <si>
    <t>Anaemia</t>
  </si>
  <si>
    <t>Wound Dehiscence</t>
  </si>
  <si>
    <t>Wound Infection</t>
  </si>
  <si>
    <t>Total Patients.</t>
  </si>
  <si>
    <t>Check Duplicate Patient IDs.</t>
  </si>
  <si>
    <t>Missing Values Check.</t>
  </si>
  <si>
    <t>Data Validation &amp; Quality Checks.</t>
  </si>
  <si>
    <t>Age Range Validation.</t>
  </si>
  <si>
    <t>Formular=COUNTA('Uterine Fibriod DataSet'!A:A)-1</t>
  </si>
  <si>
    <t>Formular=COUNTIF('Uterine Fibriod DataSet'!$A$2:$A$199,'Uterine Fibriod DataSet'!A2)</t>
  </si>
  <si>
    <t>Formular=COUNTBLANK('Uterine Fibriod DataSet'!B1:B199)</t>
  </si>
  <si>
    <t>Formular=COUNTIFS('Uterine Fibriod DataSet'!B:B,"&lt;10",'Uterine Fibriod DataSet'!B:B,"&gt;0")+COUNTIF('Uterine Fibriod DataSet'!B:B,"&gt;100")</t>
  </si>
  <si>
    <t>Pivot Table.</t>
  </si>
  <si>
    <t>Row Labels</t>
  </si>
  <si>
    <t>Grand Total</t>
  </si>
  <si>
    <t>Count of Patient_ID</t>
  </si>
  <si>
    <t>Age Group.</t>
  </si>
  <si>
    <t>Primary Presentation.</t>
  </si>
  <si>
    <t>Fibroid Location.</t>
  </si>
  <si>
    <t>Surgery Performed.</t>
  </si>
  <si>
    <t>Postoperative Complication.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</si>
</sst>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b/>
      <u/>
      <sz val="20"/>
      <color rgb="FF222222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3.75615335648" createdVersion="7" refreshedVersion="7" minRefreshableVersion="3" recordCount="198" xr:uid="{C9EDDB3F-51E4-4035-91A4-817A17B0992F}">
  <cacheSource type="worksheet">
    <worksheetSource ref="A1:I199" sheet="Uterine Fibriod DataSet"/>
  </cacheSource>
  <cacheFields count="9">
    <cacheField name="Patient_ID" numFmtId="0">
      <sharedItems count="198">
        <s v="UF001"/>
        <s v="UF002"/>
        <s v="UF003"/>
        <s v="UF004"/>
        <s v="UF005"/>
        <s v="UF006"/>
        <s v="UF007"/>
        <s v="UF008"/>
        <s v="UF009"/>
        <s v="UF010"/>
        <s v="UF011"/>
        <s v="UF012"/>
        <s v="UF013"/>
        <s v="UF014"/>
        <s v="UF015"/>
        <s v="UF016"/>
        <s v="UF017"/>
        <s v="UF018"/>
        <s v="UF019"/>
        <s v="UF020"/>
        <s v="UF021"/>
        <s v="UF022"/>
        <s v="UF023"/>
        <s v="UF024"/>
        <s v="UF025"/>
        <s v="UF026"/>
        <s v="UF027"/>
        <s v="UF028"/>
        <s v="UF029"/>
        <s v="UF030"/>
        <s v="UF031"/>
        <s v="UF032"/>
        <s v="UF033"/>
        <s v="UF034"/>
        <s v="UF035"/>
        <s v="UF036"/>
        <s v="UF037"/>
        <s v="UF038"/>
        <s v="UF039"/>
        <s v="UF040"/>
        <s v="UF041"/>
        <s v="UF042"/>
        <s v="UF043"/>
        <s v="UF044"/>
        <s v="UF045"/>
        <s v="UF046"/>
        <s v="UF047"/>
        <s v="UF048"/>
        <s v="UF049"/>
        <s v="UF050"/>
        <s v="UF051"/>
        <s v="UF052"/>
        <s v="UF053"/>
        <s v="UF054"/>
        <s v="UF055"/>
        <s v="UF056"/>
        <s v="UF057"/>
        <s v="UF058"/>
        <s v="UF059"/>
        <s v="UF060"/>
        <s v="UF061"/>
        <s v="UF062"/>
        <s v="UF063"/>
        <s v="UF064"/>
        <s v="UF065"/>
        <s v="UF066"/>
        <s v="UF067"/>
        <s v="UF068"/>
        <s v="UF069"/>
        <s v="UF070"/>
        <s v="UF071"/>
        <s v="UF072"/>
        <s v="UF073"/>
        <s v="UF074"/>
        <s v="UF075"/>
        <s v="UF076"/>
        <s v="UF077"/>
        <s v="UF078"/>
        <s v="UF079"/>
        <s v="UF080"/>
        <s v="UF081"/>
        <s v="UF082"/>
        <s v="UF083"/>
        <s v="UF084"/>
        <s v="UF085"/>
        <s v="UF086"/>
        <s v="UF087"/>
        <s v="UF088"/>
        <s v="UF089"/>
        <s v="UF090"/>
        <s v="UF091"/>
        <s v="UF092"/>
        <s v="UF093"/>
        <s v="UF094"/>
        <s v="UF095"/>
        <s v="UF096"/>
        <s v="UF097"/>
        <s v="UF098"/>
        <s v="UF099"/>
        <s v="UF100"/>
        <s v="UF101"/>
        <s v="UF102"/>
        <s v="UF103"/>
        <s v="UF104"/>
        <s v="UF105"/>
        <s v="UF106"/>
        <s v="UF107"/>
        <s v="UF108"/>
        <s v="UF109"/>
        <s v="UF110"/>
        <s v="UF111"/>
        <s v="UF112"/>
        <s v="UF113"/>
        <s v="UF114"/>
        <s v="UF115"/>
        <s v="UF116"/>
        <s v="UF117"/>
        <s v="UF118"/>
        <s v="UF119"/>
        <s v="UF120"/>
        <s v="UF121"/>
        <s v="UF122"/>
        <s v="UF123"/>
        <s v="UF124"/>
        <s v="UF125"/>
        <s v="UF126"/>
        <s v="UF127"/>
        <s v="UF128"/>
        <s v="UF129"/>
        <s v="UF130"/>
        <s v="UF131"/>
        <s v="UF132"/>
        <s v="UF133"/>
        <s v="UF134"/>
        <s v="UF135"/>
        <s v="UF136"/>
        <s v="UF137"/>
        <s v="UF138"/>
        <s v="UF139"/>
        <s v="UF140"/>
        <s v="UF141"/>
        <s v="UF142"/>
        <s v="UF143"/>
        <s v="UF144"/>
        <s v="UF145"/>
        <s v="UF146"/>
        <s v="UF147"/>
        <s v="UF148"/>
        <s v="UF149"/>
        <s v="UF150"/>
        <s v="UF151"/>
        <s v="UF152"/>
        <s v="UF153"/>
        <s v="UF154"/>
        <s v="UF155"/>
        <s v="UF156"/>
        <s v="UF157"/>
        <s v="UF158"/>
        <s v="UF159"/>
        <s v="UF160"/>
        <s v="UF161"/>
        <s v="UF162"/>
        <s v="UF163"/>
        <s v="UF164"/>
        <s v="UF165"/>
        <s v="UF166"/>
        <s v="UF167"/>
        <s v="UF168"/>
        <s v="UF169"/>
        <s v="UF170"/>
        <s v="UF171"/>
        <s v="UF172"/>
        <s v="UF173"/>
        <s v="UF174"/>
        <s v="UF175"/>
        <s v="UF176"/>
        <s v="UF177"/>
        <s v="UF178"/>
        <s v="UF179"/>
        <s v="UF180"/>
        <s v="UF181"/>
        <s v="UF182"/>
        <s v="UF183"/>
        <s v="UF184"/>
        <s v="UF185"/>
        <s v="UF186"/>
        <s v="UF187"/>
        <s v="UF188"/>
        <s v="UF189"/>
        <s v="UF190"/>
        <s v="UF191"/>
        <s v="UF192"/>
        <s v="UF193"/>
        <s v="UF194"/>
        <s v="UF195"/>
        <s v="UF196"/>
        <s v="UF197"/>
        <s v="UF198"/>
      </sharedItems>
    </cacheField>
    <cacheField name="Age_Group" numFmtId="0">
      <sharedItems count="4">
        <s v="30-39"/>
        <s v="20-29"/>
        <s v="40-49"/>
        <s v="50+"/>
      </sharedItems>
    </cacheField>
    <cacheField name="Parity" numFmtId="0">
      <sharedItems/>
    </cacheField>
    <cacheField name="Education_Level" numFmtId="0">
      <sharedItems/>
    </cacheField>
    <cacheField name="Primary_Presentation" numFmtId="0">
      <sharedItems count="4">
        <s v="Abdominal Pain"/>
        <s v="Menorrhagia"/>
        <s v="Abdominal Mass"/>
        <s v="Infertility"/>
      </sharedItems>
    </cacheField>
    <cacheField name="Uterine_Size" numFmtId="0">
      <sharedItems/>
    </cacheField>
    <cacheField name="Fibroid_Location" numFmtId="0">
      <sharedItems count="4">
        <s v="Intramural"/>
        <s v="Submucous"/>
        <s v="Subserosal"/>
        <s v="Cervical"/>
      </sharedItems>
    </cacheField>
    <cacheField name="Surgery_Performed" numFmtId="0">
      <sharedItems count="4">
        <s v="Myomectomy"/>
        <s v="Total Abdominal Hysterectomy"/>
        <s v="Myomectomy + Tuboplasty"/>
        <s v="Vaginal Polypectomy"/>
      </sharedItems>
    </cacheField>
    <cacheField name="Postoperative_Complication" numFmtId="0">
      <sharedItems count="4">
        <s v="None"/>
        <s v="Anaemia"/>
        <s v="Wound Dehiscence"/>
        <s v="Wound Infec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x v="0"/>
    <x v="0"/>
    <s v="Nulliparous"/>
    <s v="Tertiary"/>
    <x v="0"/>
    <s v="18-20 weeks"/>
    <x v="0"/>
    <x v="0"/>
    <x v="0"/>
  </r>
  <r>
    <x v="1"/>
    <x v="1"/>
    <s v="Nulliparous"/>
    <s v="Tertiary"/>
    <x v="1"/>
    <s v="18-20 weeks"/>
    <x v="1"/>
    <x v="1"/>
    <x v="0"/>
  </r>
  <r>
    <x v="2"/>
    <x v="1"/>
    <s v="Nulliparous"/>
    <s v="Tertiary"/>
    <x v="2"/>
    <s v="&gt;20 weeks"/>
    <x v="2"/>
    <x v="0"/>
    <x v="0"/>
  </r>
  <r>
    <x v="3"/>
    <x v="2"/>
    <s v="Nulliparous"/>
    <s v="No Formal Education"/>
    <x v="2"/>
    <s v="18-20 weeks"/>
    <x v="1"/>
    <x v="0"/>
    <x v="0"/>
  </r>
  <r>
    <x v="4"/>
    <x v="0"/>
    <s v="Nulliparous"/>
    <s v="Tertiary"/>
    <x v="2"/>
    <s v="15-17 weeks"/>
    <x v="0"/>
    <x v="0"/>
    <x v="1"/>
  </r>
  <r>
    <x v="5"/>
    <x v="1"/>
    <s v="Nulliparous"/>
    <s v="Tertiary"/>
    <x v="2"/>
    <s v="12-14 weeks"/>
    <x v="1"/>
    <x v="0"/>
    <x v="1"/>
  </r>
  <r>
    <x v="6"/>
    <x v="0"/>
    <s v="Nulliparous"/>
    <s v="Tertiary"/>
    <x v="0"/>
    <s v="15-17 weeks"/>
    <x v="3"/>
    <x v="2"/>
    <x v="2"/>
  </r>
  <r>
    <x v="7"/>
    <x v="1"/>
    <s v="Multiparous"/>
    <s v="Secondary"/>
    <x v="2"/>
    <s v="&gt;20 weeks"/>
    <x v="2"/>
    <x v="0"/>
    <x v="0"/>
  </r>
  <r>
    <x v="8"/>
    <x v="0"/>
    <s v="Nulliparous"/>
    <s v="Secondary"/>
    <x v="3"/>
    <s v="&gt;20 weeks"/>
    <x v="0"/>
    <x v="0"/>
    <x v="0"/>
  </r>
  <r>
    <x v="9"/>
    <x v="0"/>
    <s v="Nulliparous"/>
    <s v="No Formal Education"/>
    <x v="3"/>
    <s v="12-14 weeks"/>
    <x v="1"/>
    <x v="0"/>
    <x v="0"/>
  </r>
  <r>
    <x v="10"/>
    <x v="1"/>
    <s v="Multiparous"/>
    <s v="No Formal Education"/>
    <x v="3"/>
    <s v="12-14 weeks"/>
    <x v="2"/>
    <x v="0"/>
    <x v="3"/>
  </r>
  <r>
    <x v="11"/>
    <x v="3"/>
    <s v="Nulliparous"/>
    <s v="Primary"/>
    <x v="1"/>
    <s v="15-17 weeks"/>
    <x v="1"/>
    <x v="0"/>
    <x v="0"/>
  </r>
  <r>
    <x v="12"/>
    <x v="1"/>
    <s v="Nulliparous"/>
    <s v="Tertiary"/>
    <x v="1"/>
    <s v="18-20 weeks"/>
    <x v="0"/>
    <x v="0"/>
    <x v="0"/>
  </r>
  <r>
    <x v="13"/>
    <x v="2"/>
    <s v="Nulliparous"/>
    <s v="Tertiary"/>
    <x v="2"/>
    <s v="15-17 weeks"/>
    <x v="1"/>
    <x v="0"/>
    <x v="0"/>
  </r>
  <r>
    <x v="14"/>
    <x v="2"/>
    <s v="Nulliparous"/>
    <s v="Primary"/>
    <x v="1"/>
    <s v="12-14 weeks"/>
    <x v="1"/>
    <x v="0"/>
    <x v="0"/>
  </r>
  <r>
    <x v="15"/>
    <x v="1"/>
    <s v="Nulliparous"/>
    <s v="Primary"/>
    <x v="2"/>
    <s v="18-20 weeks"/>
    <x v="3"/>
    <x v="0"/>
    <x v="1"/>
  </r>
  <r>
    <x v="16"/>
    <x v="2"/>
    <s v="Nulliparous"/>
    <s v="Secondary"/>
    <x v="1"/>
    <s v="15-17 weeks"/>
    <x v="1"/>
    <x v="2"/>
    <x v="0"/>
  </r>
  <r>
    <x v="17"/>
    <x v="1"/>
    <s v="Multiparous"/>
    <s v="Tertiary"/>
    <x v="2"/>
    <s v="15-17 weeks"/>
    <x v="0"/>
    <x v="0"/>
    <x v="0"/>
  </r>
  <r>
    <x v="18"/>
    <x v="0"/>
    <s v="Nulliparous"/>
    <s v="Tertiary"/>
    <x v="1"/>
    <s v="12-14 weeks"/>
    <x v="2"/>
    <x v="0"/>
    <x v="1"/>
  </r>
  <r>
    <x v="19"/>
    <x v="1"/>
    <s v="Nulliparous"/>
    <s v="Secondary"/>
    <x v="0"/>
    <s v="15-17 weeks"/>
    <x v="2"/>
    <x v="0"/>
    <x v="1"/>
  </r>
  <r>
    <x v="20"/>
    <x v="1"/>
    <s v="Nulliparous"/>
    <s v="Tertiary"/>
    <x v="2"/>
    <s v="15-17 weeks"/>
    <x v="0"/>
    <x v="0"/>
    <x v="0"/>
  </r>
  <r>
    <x v="21"/>
    <x v="0"/>
    <s v="Primiparous"/>
    <s v="Tertiary"/>
    <x v="1"/>
    <s v="18-20 weeks"/>
    <x v="2"/>
    <x v="0"/>
    <x v="1"/>
  </r>
  <r>
    <x v="22"/>
    <x v="0"/>
    <s v="Nulliparous"/>
    <s v="Primary"/>
    <x v="1"/>
    <s v="15-17 weeks"/>
    <x v="1"/>
    <x v="0"/>
    <x v="0"/>
  </r>
  <r>
    <x v="23"/>
    <x v="0"/>
    <s v="Primiparous"/>
    <s v="Primary"/>
    <x v="1"/>
    <s v="&gt;20 weeks"/>
    <x v="2"/>
    <x v="0"/>
    <x v="0"/>
  </r>
  <r>
    <x v="24"/>
    <x v="0"/>
    <s v="Primiparous"/>
    <s v="Primary"/>
    <x v="0"/>
    <s v="15-17 weeks"/>
    <x v="1"/>
    <x v="0"/>
    <x v="0"/>
  </r>
  <r>
    <x v="25"/>
    <x v="0"/>
    <s v="Nulliparous"/>
    <s v="Secondary"/>
    <x v="2"/>
    <s v="12-14 weeks"/>
    <x v="2"/>
    <x v="0"/>
    <x v="0"/>
  </r>
  <r>
    <x v="26"/>
    <x v="1"/>
    <s v="Nulliparous"/>
    <s v="Tertiary"/>
    <x v="1"/>
    <s v="18-20 weeks"/>
    <x v="1"/>
    <x v="0"/>
    <x v="0"/>
  </r>
  <r>
    <x v="27"/>
    <x v="0"/>
    <s v="Nulliparous"/>
    <s v="Tertiary"/>
    <x v="1"/>
    <s v="&gt;20 weeks"/>
    <x v="1"/>
    <x v="3"/>
    <x v="0"/>
  </r>
  <r>
    <x v="28"/>
    <x v="0"/>
    <s v="Nulliparous"/>
    <s v="Tertiary"/>
    <x v="2"/>
    <s v="15-17 weeks"/>
    <x v="3"/>
    <x v="0"/>
    <x v="0"/>
  </r>
  <r>
    <x v="29"/>
    <x v="0"/>
    <s v="Primiparous"/>
    <s v="Tertiary"/>
    <x v="3"/>
    <s v="18-20 weeks"/>
    <x v="1"/>
    <x v="0"/>
    <x v="0"/>
  </r>
  <r>
    <x v="30"/>
    <x v="2"/>
    <s v="Nulliparous"/>
    <s v="Primary"/>
    <x v="3"/>
    <s v="15-17 weeks"/>
    <x v="1"/>
    <x v="0"/>
    <x v="0"/>
  </r>
  <r>
    <x v="31"/>
    <x v="0"/>
    <s v="Multiparous"/>
    <s v="Tertiary"/>
    <x v="2"/>
    <s v="12-14 weeks"/>
    <x v="1"/>
    <x v="0"/>
    <x v="1"/>
  </r>
  <r>
    <x v="32"/>
    <x v="1"/>
    <s v="Nulliparous"/>
    <s v="Primary"/>
    <x v="3"/>
    <s v="18-20 weeks"/>
    <x v="0"/>
    <x v="0"/>
    <x v="2"/>
  </r>
  <r>
    <x v="33"/>
    <x v="3"/>
    <s v="Nulliparous"/>
    <s v="Tertiary"/>
    <x v="1"/>
    <s v="12-14 weeks"/>
    <x v="1"/>
    <x v="0"/>
    <x v="3"/>
  </r>
  <r>
    <x v="34"/>
    <x v="1"/>
    <s v="Nulliparous"/>
    <s v="Tertiary"/>
    <x v="1"/>
    <s v="15-17 weeks"/>
    <x v="0"/>
    <x v="0"/>
    <x v="0"/>
  </r>
  <r>
    <x v="35"/>
    <x v="0"/>
    <s v="Nulliparous"/>
    <s v="Primary"/>
    <x v="3"/>
    <s v="15-17 weeks"/>
    <x v="0"/>
    <x v="1"/>
    <x v="0"/>
  </r>
  <r>
    <x v="36"/>
    <x v="3"/>
    <s v="Nulliparous"/>
    <s v="Tertiary"/>
    <x v="1"/>
    <s v="15-17 weeks"/>
    <x v="2"/>
    <x v="0"/>
    <x v="0"/>
  </r>
  <r>
    <x v="37"/>
    <x v="2"/>
    <s v="Primiparous"/>
    <s v="Secondary"/>
    <x v="0"/>
    <s v="15-17 weeks"/>
    <x v="0"/>
    <x v="0"/>
    <x v="0"/>
  </r>
  <r>
    <x v="38"/>
    <x v="1"/>
    <s v="Nulliparous"/>
    <s v="Tertiary"/>
    <x v="2"/>
    <s v="&gt;20 weeks"/>
    <x v="0"/>
    <x v="0"/>
    <x v="0"/>
  </r>
  <r>
    <x v="39"/>
    <x v="0"/>
    <s v="Nulliparous"/>
    <s v="Secondary"/>
    <x v="2"/>
    <s v="&gt;20 weeks"/>
    <x v="1"/>
    <x v="0"/>
    <x v="0"/>
  </r>
  <r>
    <x v="40"/>
    <x v="2"/>
    <s v="Nulliparous"/>
    <s v="Secondary"/>
    <x v="3"/>
    <s v="15-17 weeks"/>
    <x v="1"/>
    <x v="0"/>
    <x v="0"/>
  </r>
  <r>
    <x v="41"/>
    <x v="1"/>
    <s v="Primiparous"/>
    <s v="Secondary"/>
    <x v="0"/>
    <s v="&gt;20 weeks"/>
    <x v="0"/>
    <x v="0"/>
    <x v="0"/>
  </r>
  <r>
    <x v="42"/>
    <x v="0"/>
    <s v="Nulliparous"/>
    <s v="Tertiary"/>
    <x v="3"/>
    <s v="18-20 weeks"/>
    <x v="1"/>
    <x v="0"/>
    <x v="0"/>
  </r>
  <r>
    <x v="43"/>
    <x v="0"/>
    <s v="Nulliparous"/>
    <s v="Primary"/>
    <x v="1"/>
    <s v="12-14 weeks"/>
    <x v="0"/>
    <x v="0"/>
    <x v="1"/>
  </r>
  <r>
    <x v="44"/>
    <x v="3"/>
    <s v="Primiparous"/>
    <s v="Tertiary"/>
    <x v="0"/>
    <s v="18-20 weeks"/>
    <x v="0"/>
    <x v="1"/>
    <x v="1"/>
  </r>
  <r>
    <x v="45"/>
    <x v="0"/>
    <s v="Multiparous"/>
    <s v="Secondary"/>
    <x v="0"/>
    <s v="12-14 weeks"/>
    <x v="1"/>
    <x v="0"/>
    <x v="1"/>
  </r>
  <r>
    <x v="46"/>
    <x v="0"/>
    <s v="Nulliparous"/>
    <s v="Secondary"/>
    <x v="1"/>
    <s v="12-14 weeks"/>
    <x v="0"/>
    <x v="0"/>
    <x v="0"/>
  </r>
  <r>
    <x v="47"/>
    <x v="0"/>
    <s v="Nulliparous"/>
    <s v="Secondary"/>
    <x v="1"/>
    <s v="15-17 weeks"/>
    <x v="0"/>
    <x v="0"/>
    <x v="0"/>
  </r>
  <r>
    <x v="48"/>
    <x v="0"/>
    <s v="Primiparous"/>
    <s v="Tertiary"/>
    <x v="0"/>
    <s v="&gt;20 weeks"/>
    <x v="1"/>
    <x v="0"/>
    <x v="0"/>
  </r>
  <r>
    <x v="49"/>
    <x v="0"/>
    <s v="Multiparous"/>
    <s v="Primary"/>
    <x v="1"/>
    <s v="18-20 weeks"/>
    <x v="2"/>
    <x v="0"/>
    <x v="0"/>
  </r>
  <r>
    <x v="50"/>
    <x v="1"/>
    <s v="Multiparous"/>
    <s v="Tertiary"/>
    <x v="2"/>
    <s v="12-14 weeks"/>
    <x v="0"/>
    <x v="0"/>
    <x v="2"/>
  </r>
  <r>
    <x v="51"/>
    <x v="3"/>
    <s v="Nulliparous"/>
    <s v="Secondary"/>
    <x v="3"/>
    <s v="12-14 weeks"/>
    <x v="1"/>
    <x v="1"/>
    <x v="0"/>
  </r>
  <r>
    <x v="52"/>
    <x v="1"/>
    <s v="Primiparous"/>
    <s v="Secondary"/>
    <x v="1"/>
    <s v="&gt;20 weeks"/>
    <x v="1"/>
    <x v="2"/>
    <x v="1"/>
  </r>
  <r>
    <x v="53"/>
    <x v="0"/>
    <s v="Nulliparous"/>
    <s v="Primary"/>
    <x v="3"/>
    <s v="18-20 weeks"/>
    <x v="0"/>
    <x v="1"/>
    <x v="0"/>
  </r>
  <r>
    <x v="54"/>
    <x v="0"/>
    <s v="Nulliparous"/>
    <s v="Tertiary"/>
    <x v="0"/>
    <s v="15-17 weeks"/>
    <x v="1"/>
    <x v="0"/>
    <x v="0"/>
  </r>
  <r>
    <x v="55"/>
    <x v="0"/>
    <s v="Nulliparous"/>
    <s v="Tertiary"/>
    <x v="2"/>
    <s v="&gt;20 weeks"/>
    <x v="1"/>
    <x v="0"/>
    <x v="0"/>
  </r>
  <r>
    <x v="56"/>
    <x v="3"/>
    <s v="Nulliparous"/>
    <s v="Primary"/>
    <x v="0"/>
    <s v="18-20 weeks"/>
    <x v="0"/>
    <x v="0"/>
    <x v="3"/>
  </r>
  <r>
    <x v="57"/>
    <x v="2"/>
    <s v="Multiparous"/>
    <s v="Tertiary"/>
    <x v="0"/>
    <s v="18-20 weeks"/>
    <x v="1"/>
    <x v="0"/>
    <x v="0"/>
  </r>
  <r>
    <x v="58"/>
    <x v="0"/>
    <s v="Nulliparous"/>
    <s v="Tertiary"/>
    <x v="1"/>
    <s v="15-17 weeks"/>
    <x v="2"/>
    <x v="0"/>
    <x v="0"/>
  </r>
  <r>
    <x v="59"/>
    <x v="1"/>
    <s v="Multiparous"/>
    <s v="Primary"/>
    <x v="0"/>
    <s v="12-14 weeks"/>
    <x v="1"/>
    <x v="0"/>
    <x v="0"/>
  </r>
  <r>
    <x v="60"/>
    <x v="0"/>
    <s v="Primiparous"/>
    <s v="Primary"/>
    <x v="1"/>
    <s v="18-20 weeks"/>
    <x v="0"/>
    <x v="0"/>
    <x v="0"/>
  </r>
  <r>
    <x v="61"/>
    <x v="1"/>
    <s v="Nulliparous"/>
    <s v="Secondary"/>
    <x v="3"/>
    <s v="&gt;20 weeks"/>
    <x v="1"/>
    <x v="0"/>
    <x v="0"/>
  </r>
  <r>
    <x v="62"/>
    <x v="2"/>
    <s v="Primiparous"/>
    <s v="Primary"/>
    <x v="3"/>
    <s v="12-14 weeks"/>
    <x v="0"/>
    <x v="0"/>
    <x v="0"/>
  </r>
  <r>
    <x v="63"/>
    <x v="0"/>
    <s v="Nulliparous"/>
    <s v="Primary"/>
    <x v="0"/>
    <s v="&gt;20 weeks"/>
    <x v="2"/>
    <x v="0"/>
    <x v="1"/>
  </r>
  <r>
    <x v="64"/>
    <x v="1"/>
    <s v="Primiparous"/>
    <s v="Tertiary"/>
    <x v="1"/>
    <s v="12-14 weeks"/>
    <x v="0"/>
    <x v="0"/>
    <x v="0"/>
  </r>
  <r>
    <x v="65"/>
    <x v="1"/>
    <s v="Primiparous"/>
    <s v="Primary"/>
    <x v="0"/>
    <s v="&gt;20 weeks"/>
    <x v="0"/>
    <x v="0"/>
    <x v="0"/>
  </r>
  <r>
    <x v="66"/>
    <x v="2"/>
    <s v="Primiparous"/>
    <s v="No Formal Education"/>
    <x v="3"/>
    <s v="15-17 weeks"/>
    <x v="0"/>
    <x v="1"/>
    <x v="0"/>
  </r>
  <r>
    <x v="67"/>
    <x v="2"/>
    <s v="Nulliparous"/>
    <s v="Primary"/>
    <x v="2"/>
    <s v="12-14 weeks"/>
    <x v="0"/>
    <x v="1"/>
    <x v="0"/>
  </r>
  <r>
    <x v="68"/>
    <x v="0"/>
    <s v="Nulliparous"/>
    <s v="No Formal Education"/>
    <x v="1"/>
    <s v="18-20 weeks"/>
    <x v="2"/>
    <x v="0"/>
    <x v="1"/>
  </r>
  <r>
    <x v="69"/>
    <x v="0"/>
    <s v="Nulliparous"/>
    <s v="Primary"/>
    <x v="2"/>
    <s v="12-14 weeks"/>
    <x v="0"/>
    <x v="0"/>
    <x v="0"/>
  </r>
  <r>
    <x v="70"/>
    <x v="3"/>
    <s v="Nulliparous"/>
    <s v="No Formal Education"/>
    <x v="0"/>
    <s v="&gt;20 weeks"/>
    <x v="2"/>
    <x v="1"/>
    <x v="1"/>
  </r>
  <r>
    <x v="71"/>
    <x v="0"/>
    <s v="Multiparous"/>
    <s v="Primary"/>
    <x v="1"/>
    <s v="&gt;20 weeks"/>
    <x v="2"/>
    <x v="0"/>
    <x v="0"/>
  </r>
  <r>
    <x v="72"/>
    <x v="1"/>
    <s v="Nulliparous"/>
    <s v="Tertiary"/>
    <x v="3"/>
    <s v="15-17 weeks"/>
    <x v="1"/>
    <x v="0"/>
    <x v="3"/>
  </r>
  <r>
    <x v="73"/>
    <x v="2"/>
    <s v="Nulliparous"/>
    <s v="Secondary"/>
    <x v="2"/>
    <s v="12-14 weeks"/>
    <x v="0"/>
    <x v="0"/>
    <x v="1"/>
  </r>
  <r>
    <x v="74"/>
    <x v="0"/>
    <s v="Multiparous"/>
    <s v="Secondary"/>
    <x v="1"/>
    <s v="12-14 weeks"/>
    <x v="2"/>
    <x v="0"/>
    <x v="0"/>
  </r>
  <r>
    <x v="75"/>
    <x v="0"/>
    <s v="Nulliparous"/>
    <s v="Secondary"/>
    <x v="0"/>
    <s v="18-20 weeks"/>
    <x v="2"/>
    <x v="1"/>
    <x v="0"/>
  </r>
  <r>
    <x v="76"/>
    <x v="2"/>
    <s v="Nulliparous"/>
    <s v="Secondary"/>
    <x v="3"/>
    <s v="18-20 weeks"/>
    <x v="0"/>
    <x v="0"/>
    <x v="0"/>
  </r>
  <r>
    <x v="77"/>
    <x v="0"/>
    <s v="Nulliparous"/>
    <s v="Tertiary"/>
    <x v="3"/>
    <s v="&gt;20 weeks"/>
    <x v="0"/>
    <x v="0"/>
    <x v="3"/>
  </r>
  <r>
    <x v="78"/>
    <x v="0"/>
    <s v="Nulliparous"/>
    <s v="Tertiary"/>
    <x v="1"/>
    <s v="&gt;20 weeks"/>
    <x v="0"/>
    <x v="0"/>
    <x v="0"/>
  </r>
  <r>
    <x v="79"/>
    <x v="0"/>
    <s v="Nulliparous"/>
    <s v="Secondary"/>
    <x v="1"/>
    <s v="&gt;20 weeks"/>
    <x v="0"/>
    <x v="1"/>
    <x v="0"/>
  </r>
  <r>
    <x v="80"/>
    <x v="0"/>
    <s v="Primiparous"/>
    <s v="Tertiary"/>
    <x v="1"/>
    <s v="15-17 weeks"/>
    <x v="2"/>
    <x v="0"/>
    <x v="1"/>
  </r>
  <r>
    <x v="81"/>
    <x v="0"/>
    <s v="Nulliparous"/>
    <s v="Primary"/>
    <x v="3"/>
    <s v="&gt;20 weeks"/>
    <x v="0"/>
    <x v="0"/>
    <x v="0"/>
  </r>
  <r>
    <x v="82"/>
    <x v="1"/>
    <s v="Nulliparous"/>
    <s v="No Formal Education"/>
    <x v="3"/>
    <s v="18-20 weeks"/>
    <x v="0"/>
    <x v="0"/>
    <x v="1"/>
  </r>
  <r>
    <x v="83"/>
    <x v="1"/>
    <s v="Primiparous"/>
    <s v="Tertiary"/>
    <x v="1"/>
    <s v="&gt;20 weeks"/>
    <x v="0"/>
    <x v="0"/>
    <x v="1"/>
  </r>
  <r>
    <x v="84"/>
    <x v="0"/>
    <s v="Nulliparous"/>
    <s v="Primary"/>
    <x v="0"/>
    <s v="15-17 weeks"/>
    <x v="2"/>
    <x v="0"/>
    <x v="0"/>
  </r>
  <r>
    <x v="85"/>
    <x v="0"/>
    <s v="Nulliparous"/>
    <s v="Secondary"/>
    <x v="2"/>
    <s v="&gt;20 weeks"/>
    <x v="1"/>
    <x v="2"/>
    <x v="0"/>
  </r>
  <r>
    <x v="86"/>
    <x v="3"/>
    <s v="Primiparous"/>
    <s v="Tertiary"/>
    <x v="1"/>
    <s v="18-20 weeks"/>
    <x v="2"/>
    <x v="0"/>
    <x v="0"/>
  </r>
  <r>
    <x v="87"/>
    <x v="0"/>
    <s v="Primiparous"/>
    <s v="Tertiary"/>
    <x v="1"/>
    <s v="12-14 weeks"/>
    <x v="0"/>
    <x v="0"/>
    <x v="0"/>
  </r>
  <r>
    <x v="88"/>
    <x v="0"/>
    <s v="Primiparous"/>
    <s v="Secondary"/>
    <x v="3"/>
    <s v="15-17 weeks"/>
    <x v="1"/>
    <x v="0"/>
    <x v="0"/>
  </r>
  <r>
    <x v="89"/>
    <x v="2"/>
    <s v="Nulliparous"/>
    <s v="Primary"/>
    <x v="2"/>
    <s v="12-14 weeks"/>
    <x v="2"/>
    <x v="0"/>
    <x v="0"/>
  </r>
  <r>
    <x v="90"/>
    <x v="0"/>
    <s v="Primiparous"/>
    <s v="Tertiary"/>
    <x v="0"/>
    <s v="&gt;20 weeks"/>
    <x v="1"/>
    <x v="0"/>
    <x v="0"/>
  </r>
  <r>
    <x v="91"/>
    <x v="2"/>
    <s v="Primiparous"/>
    <s v="Secondary"/>
    <x v="2"/>
    <s v="&gt;20 weeks"/>
    <x v="1"/>
    <x v="1"/>
    <x v="3"/>
  </r>
  <r>
    <x v="92"/>
    <x v="0"/>
    <s v="Primiparous"/>
    <s v="Secondary"/>
    <x v="1"/>
    <s v="18-20 weeks"/>
    <x v="0"/>
    <x v="0"/>
    <x v="0"/>
  </r>
  <r>
    <x v="93"/>
    <x v="1"/>
    <s v="Nulliparous"/>
    <s v="Primary"/>
    <x v="1"/>
    <s v="12-14 weeks"/>
    <x v="1"/>
    <x v="0"/>
    <x v="1"/>
  </r>
  <r>
    <x v="94"/>
    <x v="3"/>
    <s v="Primiparous"/>
    <s v="Secondary"/>
    <x v="1"/>
    <s v="15-17 weeks"/>
    <x v="0"/>
    <x v="0"/>
    <x v="0"/>
  </r>
  <r>
    <x v="95"/>
    <x v="0"/>
    <s v="Multiparous"/>
    <s v="Tertiary"/>
    <x v="1"/>
    <s v="&gt;20 weeks"/>
    <x v="0"/>
    <x v="0"/>
    <x v="0"/>
  </r>
  <r>
    <x v="96"/>
    <x v="1"/>
    <s v="Nulliparous"/>
    <s v="Tertiary"/>
    <x v="1"/>
    <s v="18-20 weeks"/>
    <x v="0"/>
    <x v="0"/>
    <x v="1"/>
  </r>
  <r>
    <x v="97"/>
    <x v="2"/>
    <s v="Multiparous"/>
    <s v="No Formal Education"/>
    <x v="1"/>
    <s v="12-14 weeks"/>
    <x v="2"/>
    <x v="0"/>
    <x v="0"/>
  </r>
  <r>
    <x v="98"/>
    <x v="1"/>
    <s v="Primiparous"/>
    <s v="Tertiary"/>
    <x v="1"/>
    <s v="18-20 weeks"/>
    <x v="0"/>
    <x v="1"/>
    <x v="1"/>
  </r>
  <r>
    <x v="99"/>
    <x v="1"/>
    <s v="Nulliparous"/>
    <s v="Secondary"/>
    <x v="0"/>
    <s v="18-20 weeks"/>
    <x v="1"/>
    <x v="1"/>
    <x v="3"/>
  </r>
  <r>
    <x v="100"/>
    <x v="3"/>
    <s v="Primiparous"/>
    <s v="Tertiary"/>
    <x v="1"/>
    <s v="18-20 weeks"/>
    <x v="2"/>
    <x v="0"/>
    <x v="0"/>
  </r>
  <r>
    <x v="101"/>
    <x v="0"/>
    <s v="Nulliparous"/>
    <s v="Tertiary"/>
    <x v="3"/>
    <s v="&gt;20 weeks"/>
    <x v="0"/>
    <x v="1"/>
    <x v="0"/>
  </r>
  <r>
    <x v="102"/>
    <x v="0"/>
    <s v="Nulliparous"/>
    <s v="Primary"/>
    <x v="2"/>
    <s v="15-17 weeks"/>
    <x v="2"/>
    <x v="0"/>
    <x v="0"/>
  </r>
  <r>
    <x v="103"/>
    <x v="3"/>
    <s v="Multiparous"/>
    <s v="Tertiary"/>
    <x v="1"/>
    <s v="18-20 weeks"/>
    <x v="2"/>
    <x v="0"/>
    <x v="0"/>
  </r>
  <r>
    <x v="104"/>
    <x v="0"/>
    <s v="Nulliparous"/>
    <s v="Secondary"/>
    <x v="0"/>
    <s v="18-20 weeks"/>
    <x v="0"/>
    <x v="0"/>
    <x v="0"/>
  </r>
  <r>
    <x v="105"/>
    <x v="3"/>
    <s v="Nulliparous"/>
    <s v="No Formal Education"/>
    <x v="3"/>
    <s v="18-20 weeks"/>
    <x v="0"/>
    <x v="0"/>
    <x v="1"/>
  </r>
  <r>
    <x v="106"/>
    <x v="0"/>
    <s v="Primiparous"/>
    <s v="Primary"/>
    <x v="1"/>
    <s v="18-20 weeks"/>
    <x v="0"/>
    <x v="0"/>
    <x v="0"/>
  </r>
  <r>
    <x v="107"/>
    <x v="2"/>
    <s v="Nulliparous"/>
    <s v="Tertiary"/>
    <x v="1"/>
    <s v="18-20 weeks"/>
    <x v="1"/>
    <x v="0"/>
    <x v="0"/>
  </r>
  <r>
    <x v="108"/>
    <x v="2"/>
    <s v="Nulliparous"/>
    <s v="Secondary"/>
    <x v="1"/>
    <s v="18-20 weeks"/>
    <x v="0"/>
    <x v="0"/>
    <x v="1"/>
  </r>
  <r>
    <x v="109"/>
    <x v="0"/>
    <s v="Nulliparous"/>
    <s v="Tertiary"/>
    <x v="2"/>
    <s v="&gt;20 weeks"/>
    <x v="2"/>
    <x v="0"/>
    <x v="0"/>
  </r>
  <r>
    <x v="110"/>
    <x v="1"/>
    <s v="Nulliparous"/>
    <s v="Tertiary"/>
    <x v="1"/>
    <s v="18-20 weeks"/>
    <x v="1"/>
    <x v="0"/>
    <x v="1"/>
  </r>
  <r>
    <x v="111"/>
    <x v="0"/>
    <s v="Nulliparous"/>
    <s v="Tertiary"/>
    <x v="2"/>
    <s v="12-14 weeks"/>
    <x v="1"/>
    <x v="0"/>
    <x v="0"/>
  </r>
  <r>
    <x v="112"/>
    <x v="0"/>
    <s v="Nulliparous"/>
    <s v="Secondary"/>
    <x v="3"/>
    <s v="18-20 weeks"/>
    <x v="1"/>
    <x v="0"/>
    <x v="3"/>
  </r>
  <r>
    <x v="113"/>
    <x v="2"/>
    <s v="Primiparous"/>
    <s v="Secondary"/>
    <x v="0"/>
    <s v="&gt;20 weeks"/>
    <x v="1"/>
    <x v="0"/>
    <x v="0"/>
  </r>
  <r>
    <x v="114"/>
    <x v="0"/>
    <s v="Primiparous"/>
    <s v="Tertiary"/>
    <x v="3"/>
    <s v="12-14 weeks"/>
    <x v="1"/>
    <x v="0"/>
    <x v="0"/>
  </r>
  <r>
    <x v="115"/>
    <x v="0"/>
    <s v="Primiparous"/>
    <s v="Primary"/>
    <x v="1"/>
    <s v="&gt;20 weeks"/>
    <x v="0"/>
    <x v="0"/>
    <x v="1"/>
  </r>
  <r>
    <x v="116"/>
    <x v="1"/>
    <s v="Nulliparous"/>
    <s v="Tertiary"/>
    <x v="2"/>
    <s v="15-17 weeks"/>
    <x v="2"/>
    <x v="0"/>
    <x v="0"/>
  </r>
  <r>
    <x v="117"/>
    <x v="0"/>
    <s v="Nulliparous"/>
    <s v="Tertiary"/>
    <x v="1"/>
    <s v="12-14 weeks"/>
    <x v="0"/>
    <x v="0"/>
    <x v="0"/>
  </r>
  <r>
    <x v="118"/>
    <x v="0"/>
    <s v="Nulliparous"/>
    <s v="Secondary"/>
    <x v="2"/>
    <s v="15-17 weeks"/>
    <x v="0"/>
    <x v="0"/>
    <x v="0"/>
  </r>
  <r>
    <x v="119"/>
    <x v="1"/>
    <s v="Nulliparous"/>
    <s v="Tertiary"/>
    <x v="2"/>
    <s v="18-20 weeks"/>
    <x v="0"/>
    <x v="0"/>
    <x v="0"/>
  </r>
  <r>
    <x v="120"/>
    <x v="0"/>
    <s v="Nulliparous"/>
    <s v="Tertiary"/>
    <x v="3"/>
    <s v="15-17 weeks"/>
    <x v="0"/>
    <x v="0"/>
    <x v="1"/>
  </r>
  <r>
    <x v="121"/>
    <x v="2"/>
    <s v="Nulliparous"/>
    <s v="Tertiary"/>
    <x v="1"/>
    <s v="18-20 weeks"/>
    <x v="0"/>
    <x v="0"/>
    <x v="1"/>
  </r>
  <r>
    <x v="122"/>
    <x v="0"/>
    <s v="Primiparous"/>
    <s v="Primary"/>
    <x v="1"/>
    <s v="15-17 weeks"/>
    <x v="1"/>
    <x v="0"/>
    <x v="0"/>
  </r>
  <r>
    <x v="123"/>
    <x v="0"/>
    <s v="Primiparous"/>
    <s v="Tertiary"/>
    <x v="1"/>
    <s v="12-14 weeks"/>
    <x v="0"/>
    <x v="0"/>
    <x v="1"/>
  </r>
  <r>
    <x v="124"/>
    <x v="1"/>
    <s v="Multiparous"/>
    <s v="Secondary"/>
    <x v="1"/>
    <s v="12-14 weeks"/>
    <x v="0"/>
    <x v="0"/>
    <x v="0"/>
  </r>
  <r>
    <x v="125"/>
    <x v="0"/>
    <s v="Nulliparous"/>
    <s v="Secondary"/>
    <x v="1"/>
    <s v="15-17 weeks"/>
    <x v="0"/>
    <x v="0"/>
    <x v="0"/>
  </r>
  <r>
    <x v="126"/>
    <x v="2"/>
    <s v="Multiparous"/>
    <s v="Primary"/>
    <x v="0"/>
    <s v="15-17 weeks"/>
    <x v="2"/>
    <x v="0"/>
    <x v="0"/>
  </r>
  <r>
    <x v="127"/>
    <x v="0"/>
    <s v="Nulliparous"/>
    <s v="Primary"/>
    <x v="0"/>
    <s v="&gt;20 weeks"/>
    <x v="0"/>
    <x v="0"/>
    <x v="0"/>
  </r>
  <r>
    <x v="128"/>
    <x v="0"/>
    <s v="Multiparous"/>
    <s v="Secondary"/>
    <x v="0"/>
    <s v="18-20 weeks"/>
    <x v="2"/>
    <x v="0"/>
    <x v="0"/>
  </r>
  <r>
    <x v="129"/>
    <x v="1"/>
    <s v="Nulliparous"/>
    <s v="Secondary"/>
    <x v="1"/>
    <s v="15-17 weeks"/>
    <x v="2"/>
    <x v="0"/>
    <x v="3"/>
  </r>
  <r>
    <x v="130"/>
    <x v="0"/>
    <s v="Multiparous"/>
    <s v="Tertiary"/>
    <x v="3"/>
    <s v="18-20 weeks"/>
    <x v="0"/>
    <x v="0"/>
    <x v="3"/>
  </r>
  <r>
    <x v="131"/>
    <x v="0"/>
    <s v="Nulliparous"/>
    <s v="Tertiary"/>
    <x v="3"/>
    <s v="15-17 weeks"/>
    <x v="0"/>
    <x v="0"/>
    <x v="0"/>
  </r>
  <r>
    <x v="132"/>
    <x v="2"/>
    <s v="Primiparous"/>
    <s v="Secondary"/>
    <x v="2"/>
    <s v="&gt;20 weeks"/>
    <x v="2"/>
    <x v="1"/>
    <x v="0"/>
  </r>
  <r>
    <x v="133"/>
    <x v="2"/>
    <s v="Nulliparous"/>
    <s v="Primary"/>
    <x v="2"/>
    <s v="18-20 weeks"/>
    <x v="1"/>
    <x v="1"/>
    <x v="0"/>
  </r>
  <r>
    <x v="134"/>
    <x v="1"/>
    <s v="Nulliparous"/>
    <s v="Secondary"/>
    <x v="1"/>
    <s v="15-17 weeks"/>
    <x v="0"/>
    <x v="0"/>
    <x v="1"/>
  </r>
  <r>
    <x v="135"/>
    <x v="3"/>
    <s v="Nulliparous"/>
    <s v="Tertiary"/>
    <x v="2"/>
    <s v="&gt;20 weeks"/>
    <x v="1"/>
    <x v="0"/>
    <x v="1"/>
  </r>
  <r>
    <x v="136"/>
    <x v="0"/>
    <s v="Nulliparous"/>
    <s v="Tertiary"/>
    <x v="2"/>
    <s v="12-14 weeks"/>
    <x v="0"/>
    <x v="0"/>
    <x v="0"/>
  </r>
  <r>
    <x v="137"/>
    <x v="0"/>
    <s v="Multiparous"/>
    <s v="Tertiary"/>
    <x v="1"/>
    <s v="18-20 weeks"/>
    <x v="1"/>
    <x v="0"/>
    <x v="1"/>
  </r>
  <r>
    <x v="138"/>
    <x v="0"/>
    <s v="Nulliparous"/>
    <s v="Primary"/>
    <x v="2"/>
    <s v="18-20 weeks"/>
    <x v="2"/>
    <x v="0"/>
    <x v="0"/>
  </r>
  <r>
    <x v="139"/>
    <x v="2"/>
    <s v="Nulliparous"/>
    <s v="Primary"/>
    <x v="2"/>
    <s v="18-20 weeks"/>
    <x v="0"/>
    <x v="0"/>
    <x v="0"/>
  </r>
  <r>
    <x v="140"/>
    <x v="1"/>
    <s v="Primiparous"/>
    <s v="Primary"/>
    <x v="1"/>
    <s v="15-17 weeks"/>
    <x v="0"/>
    <x v="0"/>
    <x v="1"/>
  </r>
  <r>
    <x v="141"/>
    <x v="1"/>
    <s v="Nulliparous"/>
    <s v="Primary"/>
    <x v="1"/>
    <s v="18-20 weeks"/>
    <x v="0"/>
    <x v="0"/>
    <x v="1"/>
  </r>
  <r>
    <x v="142"/>
    <x v="0"/>
    <s v="Nulliparous"/>
    <s v="Tertiary"/>
    <x v="3"/>
    <s v="18-20 weeks"/>
    <x v="0"/>
    <x v="1"/>
    <x v="1"/>
  </r>
  <r>
    <x v="143"/>
    <x v="0"/>
    <s v="Nulliparous"/>
    <s v="Secondary"/>
    <x v="2"/>
    <s v="15-17 weeks"/>
    <x v="0"/>
    <x v="0"/>
    <x v="0"/>
  </r>
  <r>
    <x v="144"/>
    <x v="0"/>
    <s v="Primiparous"/>
    <s v="Tertiary"/>
    <x v="0"/>
    <s v="18-20 weeks"/>
    <x v="2"/>
    <x v="1"/>
    <x v="3"/>
  </r>
  <r>
    <x v="145"/>
    <x v="1"/>
    <s v="Nulliparous"/>
    <s v="No Formal Education"/>
    <x v="2"/>
    <s v="&gt;20 weeks"/>
    <x v="0"/>
    <x v="0"/>
    <x v="2"/>
  </r>
  <r>
    <x v="146"/>
    <x v="0"/>
    <s v="Multiparous"/>
    <s v="Tertiary"/>
    <x v="2"/>
    <s v="&gt;20 weeks"/>
    <x v="1"/>
    <x v="0"/>
    <x v="0"/>
  </r>
  <r>
    <x v="147"/>
    <x v="1"/>
    <s v="Primiparous"/>
    <s v="Tertiary"/>
    <x v="2"/>
    <s v="&gt;20 weeks"/>
    <x v="2"/>
    <x v="0"/>
    <x v="0"/>
  </r>
  <r>
    <x v="148"/>
    <x v="0"/>
    <s v="Nulliparous"/>
    <s v="Secondary"/>
    <x v="1"/>
    <s v="&gt;20 weeks"/>
    <x v="1"/>
    <x v="2"/>
    <x v="0"/>
  </r>
  <r>
    <x v="149"/>
    <x v="0"/>
    <s v="Multiparous"/>
    <s v="Primary"/>
    <x v="1"/>
    <s v="&gt;20 weeks"/>
    <x v="1"/>
    <x v="0"/>
    <x v="0"/>
  </r>
  <r>
    <x v="150"/>
    <x v="1"/>
    <s v="Multiparous"/>
    <s v="Secondary"/>
    <x v="1"/>
    <s v="12-14 weeks"/>
    <x v="1"/>
    <x v="0"/>
    <x v="1"/>
  </r>
  <r>
    <x v="151"/>
    <x v="0"/>
    <s v="Primiparous"/>
    <s v="Tertiary"/>
    <x v="2"/>
    <s v="12-14 weeks"/>
    <x v="1"/>
    <x v="2"/>
    <x v="0"/>
  </r>
  <r>
    <x v="152"/>
    <x v="0"/>
    <s v="Nulliparous"/>
    <s v="Tertiary"/>
    <x v="1"/>
    <s v="18-20 weeks"/>
    <x v="1"/>
    <x v="0"/>
    <x v="0"/>
  </r>
  <r>
    <x v="153"/>
    <x v="0"/>
    <s v="Nulliparous"/>
    <s v="No Formal Education"/>
    <x v="1"/>
    <s v="18-20 weeks"/>
    <x v="1"/>
    <x v="0"/>
    <x v="0"/>
  </r>
  <r>
    <x v="154"/>
    <x v="1"/>
    <s v="Primiparous"/>
    <s v="Secondary"/>
    <x v="1"/>
    <s v="&gt;20 weeks"/>
    <x v="2"/>
    <x v="1"/>
    <x v="0"/>
  </r>
  <r>
    <x v="155"/>
    <x v="0"/>
    <s v="Primiparous"/>
    <s v="Primary"/>
    <x v="1"/>
    <s v="18-20 weeks"/>
    <x v="1"/>
    <x v="0"/>
    <x v="1"/>
  </r>
  <r>
    <x v="156"/>
    <x v="3"/>
    <s v="Nulliparous"/>
    <s v="Secondary"/>
    <x v="3"/>
    <s v="18-20 weeks"/>
    <x v="1"/>
    <x v="0"/>
    <x v="0"/>
  </r>
  <r>
    <x v="157"/>
    <x v="3"/>
    <s v="Nulliparous"/>
    <s v="Tertiary"/>
    <x v="0"/>
    <s v="18-20 weeks"/>
    <x v="0"/>
    <x v="0"/>
    <x v="0"/>
  </r>
  <r>
    <x v="158"/>
    <x v="0"/>
    <s v="Nulliparous"/>
    <s v="Tertiary"/>
    <x v="2"/>
    <s v="12-14 weeks"/>
    <x v="0"/>
    <x v="0"/>
    <x v="0"/>
  </r>
  <r>
    <x v="159"/>
    <x v="3"/>
    <s v="Multiparous"/>
    <s v="Tertiary"/>
    <x v="1"/>
    <s v="12-14 weeks"/>
    <x v="1"/>
    <x v="0"/>
    <x v="0"/>
  </r>
  <r>
    <x v="160"/>
    <x v="1"/>
    <s v="Nulliparous"/>
    <s v="Secondary"/>
    <x v="1"/>
    <s v="18-20 weeks"/>
    <x v="0"/>
    <x v="0"/>
    <x v="0"/>
  </r>
  <r>
    <x v="161"/>
    <x v="2"/>
    <s v="Primiparous"/>
    <s v="Tertiary"/>
    <x v="1"/>
    <s v="15-17 weeks"/>
    <x v="0"/>
    <x v="1"/>
    <x v="0"/>
  </r>
  <r>
    <x v="162"/>
    <x v="0"/>
    <s v="Nulliparous"/>
    <s v="Primary"/>
    <x v="1"/>
    <s v="18-20 weeks"/>
    <x v="0"/>
    <x v="0"/>
    <x v="0"/>
  </r>
  <r>
    <x v="163"/>
    <x v="3"/>
    <s v="Nulliparous"/>
    <s v="Primary"/>
    <x v="2"/>
    <s v="12-14 weeks"/>
    <x v="0"/>
    <x v="0"/>
    <x v="1"/>
  </r>
  <r>
    <x v="164"/>
    <x v="1"/>
    <s v="Nulliparous"/>
    <s v="Secondary"/>
    <x v="0"/>
    <s v="&gt;20 weeks"/>
    <x v="1"/>
    <x v="0"/>
    <x v="0"/>
  </r>
  <r>
    <x v="165"/>
    <x v="1"/>
    <s v="Multiparous"/>
    <s v="Tertiary"/>
    <x v="1"/>
    <s v="15-17 weeks"/>
    <x v="2"/>
    <x v="0"/>
    <x v="0"/>
  </r>
  <r>
    <x v="166"/>
    <x v="0"/>
    <s v="Nulliparous"/>
    <s v="Primary"/>
    <x v="3"/>
    <s v="18-20 weeks"/>
    <x v="2"/>
    <x v="0"/>
    <x v="3"/>
  </r>
  <r>
    <x v="167"/>
    <x v="2"/>
    <s v="Primiparous"/>
    <s v="Tertiary"/>
    <x v="2"/>
    <s v="18-20 weeks"/>
    <x v="1"/>
    <x v="0"/>
    <x v="0"/>
  </r>
  <r>
    <x v="168"/>
    <x v="0"/>
    <s v="Primiparous"/>
    <s v="Tertiary"/>
    <x v="3"/>
    <s v="12-14 weeks"/>
    <x v="2"/>
    <x v="0"/>
    <x v="0"/>
  </r>
  <r>
    <x v="169"/>
    <x v="0"/>
    <s v="Nulliparous"/>
    <s v="Tertiary"/>
    <x v="1"/>
    <s v="18-20 weeks"/>
    <x v="2"/>
    <x v="1"/>
    <x v="0"/>
  </r>
  <r>
    <x v="170"/>
    <x v="0"/>
    <s v="Nulliparous"/>
    <s v="Tertiary"/>
    <x v="3"/>
    <s v="18-20 weeks"/>
    <x v="1"/>
    <x v="0"/>
    <x v="0"/>
  </r>
  <r>
    <x v="171"/>
    <x v="3"/>
    <s v="Nulliparous"/>
    <s v="Primary"/>
    <x v="0"/>
    <s v="15-17 weeks"/>
    <x v="1"/>
    <x v="0"/>
    <x v="0"/>
  </r>
  <r>
    <x v="172"/>
    <x v="2"/>
    <s v="Nulliparous"/>
    <s v="Secondary"/>
    <x v="1"/>
    <s v="18-20 weeks"/>
    <x v="0"/>
    <x v="0"/>
    <x v="0"/>
  </r>
  <r>
    <x v="173"/>
    <x v="1"/>
    <s v="Nulliparous"/>
    <s v="Primary"/>
    <x v="2"/>
    <s v="18-20 weeks"/>
    <x v="0"/>
    <x v="0"/>
    <x v="0"/>
  </r>
  <r>
    <x v="174"/>
    <x v="0"/>
    <s v="Nulliparous"/>
    <s v="Secondary"/>
    <x v="2"/>
    <s v="12-14 weeks"/>
    <x v="0"/>
    <x v="0"/>
    <x v="0"/>
  </r>
  <r>
    <x v="175"/>
    <x v="3"/>
    <s v="Nulliparous"/>
    <s v="Tertiary"/>
    <x v="1"/>
    <s v="12-14 weeks"/>
    <x v="1"/>
    <x v="0"/>
    <x v="0"/>
  </r>
  <r>
    <x v="176"/>
    <x v="2"/>
    <s v="Primiparous"/>
    <s v="No Formal Education"/>
    <x v="2"/>
    <s v="18-20 weeks"/>
    <x v="0"/>
    <x v="1"/>
    <x v="1"/>
  </r>
  <r>
    <x v="177"/>
    <x v="0"/>
    <s v="Nulliparous"/>
    <s v="Primary"/>
    <x v="3"/>
    <s v="18-20 weeks"/>
    <x v="1"/>
    <x v="0"/>
    <x v="1"/>
  </r>
  <r>
    <x v="178"/>
    <x v="0"/>
    <s v="Nulliparous"/>
    <s v="Tertiary"/>
    <x v="2"/>
    <s v="12-14 weeks"/>
    <x v="0"/>
    <x v="0"/>
    <x v="0"/>
  </r>
  <r>
    <x v="179"/>
    <x v="0"/>
    <s v="Primiparous"/>
    <s v="Tertiary"/>
    <x v="3"/>
    <s v="12-14 weeks"/>
    <x v="2"/>
    <x v="0"/>
    <x v="0"/>
  </r>
  <r>
    <x v="180"/>
    <x v="1"/>
    <s v="Multiparous"/>
    <s v="Tertiary"/>
    <x v="3"/>
    <s v="15-17 weeks"/>
    <x v="2"/>
    <x v="0"/>
    <x v="0"/>
  </r>
  <r>
    <x v="181"/>
    <x v="1"/>
    <s v="Nulliparous"/>
    <s v="Tertiary"/>
    <x v="2"/>
    <s v="&gt;20 weeks"/>
    <x v="0"/>
    <x v="2"/>
    <x v="0"/>
  </r>
  <r>
    <x v="182"/>
    <x v="1"/>
    <s v="Nulliparous"/>
    <s v="Tertiary"/>
    <x v="2"/>
    <s v="12-14 weeks"/>
    <x v="1"/>
    <x v="0"/>
    <x v="1"/>
  </r>
  <r>
    <x v="183"/>
    <x v="0"/>
    <s v="Multiparous"/>
    <s v="Secondary"/>
    <x v="3"/>
    <s v="15-17 weeks"/>
    <x v="0"/>
    <x v="0"/>
    <x v="0"/>
  </r>
  <r>
    <x v="184"/>
    <x v="2"/>
    <s v="Nulliparous"/>
    <s v="No Formal Education"/>
    <x v="3"/>
    <s v="18-20 weeks"/>
    <x v="1"/>
    <x v="0"/>
    <x v="0"/>
  </r>
  <r>
    <x v="185"/>
    <x v="1"/>
    <s v="Multiparous"/>
    <s v="Tertiary"/>
    <x v="3"/>
    <s v="15-17 weeks"/>
    <x v="0"/>
    <x v="0"/>
    <x v="0"/>
  </r>
  <r>
    <x v="186"/>
    <x v="0"/>
    <s v="Multiparous"/>
    <s v="Tertiary"/>
    <x v="0"/>
    <s v="15-17 weeks"/>
    <x v="1"/>
    <x v="0"/>
    <x v="0"/>
  </r>
  <r>
    <x v="187"/>
    <x v="2"/>
    <s v="Primiparous"/>
    <s v="Tertiary"/>
    <x v="0"/>
    <s v="12-14 weeks"/>
    <x v="0"/>
    <x v="0"/>
    <x v="0"/>
  </r>
  <r>
    <x v="188"/>
    <x v="1"/>
    <s v="Nulliparous"/>
    <s v="Secondary"/>
    <x v="1"/>
    <s v="&gt;20 weeks"/>
    <x v="1"/>
    <x v="0"/>
    <x v="0"/>
  </r>
  <r>
    <x v="189"/>
    <x v="3"/>
    <s v="Nulliparous"/>
    <s v="Secondary"/>
    <x v="2"/>
    <s v="12-14 weeks"/>
    <x v="1"/>
    <x v="0"/>
    <x v="0"/>
  </r>
  <r>
    <x v="190"/>
    <x v="1"/>
    <s v="Primiparous"/>
    <s v="Tertiary"/>
    <x v="1"/>
    <s v="&gt;20 weeks"/>
    <x v="0"/>
    <x v="1"/>
    <x v="1"/>
  </r>
  <r>
    <x v="191"/>
    <x v="0"/>
    <s v="Primiparous"/>
    <s v="Primary"/>
    <x v="1"/>
    <s v="12-14 weeks"/>
    <x v="1"/>
    <x v="0"/>
    <x v="0"/>
  </r>
  <r>
    <x v="192"/>
    <x v="0"/>
    <s v="Nulliparous"/>
    <s v="Primary"/>
    <x v="3"/>
    <s v="12-14 weeks"/>
    <x v="1"/>
    <x v="0"/>
    <x v="0"/>
  </r>
  <r>
    <x v="193"/>
    <x v="0"/>
    <s v="Nulliparous"/>
    <s v="Tertiary"/>
    <x v="1"/>
    <s v="15-17 weeks"/>
    <x v="2"/>
    <x v="0"/>
    <x v="0"/>
  </r>
  <r>
    <x v="194"/>
    <x v="3"/>
    <s v="Primiparous"/>
    <s v="Tertiary"/>
    <x v="2"/>
    <s v="18-20 weeks"/>
    <x v="2"/>
    <x v="2"/>
    <x v="0"/>
  </r>
  <r>
    <x v="195"/>
    <x v="1"/>
    <s v="Nulliparous"/>
    <s v="Primary"/>
    <x v="3"/>
    <s v="12-14 weeks"/>
    <x v="1"/>
    <x v="2"/>
    <x v="0"/>
  </r>
  <r>
    <x v="196"/>
    <x v="1"/>
    <s v="Primiparous"/>
    <s v="Tertiary"/>
    <x v="0"/>
    <s v="12-14 weeks"/>
    <x v="1"/>
    <x v="0"/>
    <x v="0"/>
  </r>
  <r>
    <x v="197"/>
    <x v="2"/>
    <s v="Nulliparous"/>
    <s v="Primary"/>
    <x v="1"/>
    <s v="15-17 weeks"/>
    <x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C636B-F364-43A8-A286-144F0667DECD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14:J19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2D8AB-AB0B-464E-B1D6-B4150254612F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14:E19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DCFA9-9F9E-437A-A029-74C194F3B8A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5:L10" firstHeaderRow="1" firstDataRow="1" firstDataCol="1"/>
  <pivotFields count="9">
    <pivotField dataField="1" showAll="0">
      <items count="1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06201-4097-4C78-8BBE-08085F5541B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:B10" firstHeaderRow="1" firstDataRow="1" firstDataCol="1"/>
  <pivotFields count="9"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9916F-B323-4B8B-AAA3-B07888E7DD08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5:G10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"/>
  <sheetViews>
    <sheetView tabSelected="1" workbookViewId="0">
      <selection activeCell="I1" sqref="I1"/>
    </sheetView>
  </sheetViews>
  <sheetFormatPr defaultRowHeight="15" x14ac:dyDescent="0.25"/>
  <cols>
    <col min="1" max="1" width="10.28515625" bestFit="1" customWidth="1"/>
    <col min="2" max="2" width="11" bestFit="1" customWidth="1"/>
    <col min="3" max="3" width="11.7109375" bestFit="1" customWidth="1"/>
    <col min="4" max="4" width="19.5703125" bestFit="1" customWidth="1"/>
    <col min="5" max="5" width="20.5703125" bestFit="1" customWidth="1"/>
    <col min="6" max="6" width="12.42578125" bestFit="1" customWidth="1"/>
    <col min="7" max="7" width="15.85546875" bestFit="1" customWidth="1"/>
    <col min="8" max="8" width="28.85546875" bestFit="1" customWidth="1"/>
    <col min="9" max="9" width="26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207</v>
      </c>
      <c r="C2" t="s">
        <v>211</v>
      </c>
      <c r="D2" t="s">
        <v>214</v>
      </c>
      <c r="E2" t="s">
        <v>218</v>
      </c>
      <c r="F2" t="s">
        <v>222</v>
      </c>
      <c r="G2" t="s">
        <v>226</v>
      </c>
      <c r="H2" t="s">
        <v>230</v>
      </c>
      <c r="I2" t="s">
        <v>234</v>
      </c>
    </row>
    <row r="3" spans="1:9" x14ac:dyDescent="0.25">
      <c r="A3" t="s">
        <v>10</v>
      </c>
      <c r="B3" t="s">
        <v>208</v>
      </c>
      <c r="C3" t="s">
        <v>211</v>
      </c>
      <c r="D3" t="s">
        <v>214</v>
      </c>
      <c r="E3" t="s">
        <v>219</v>
      </c>
      <c r="F3" t="s">
        <v>222</v>
      </c>
      <c r="G3" t="s">
        <v>227</v>
      </c>
      <c r="H3" t="s">
        <v>231</v>
      </c>
      <c r="I3" t="s">
        <v>234</v>
      </c>
    </row>
    <row r="4" spans="1:9" x14ac:dyDescent="0.25">
      <c r="A4" t="s">
        <v>11</v>
      </c>
      <c r="B4" t="s">
        <v>208</v>
      </c>
      <c r="C4" t="s">
        <v>211</v>
      </c>
      <c r="D4" t="s">
        <v>214</v>
      </c>
      <c r="E4" t="s">
        <v>220</v>
      </c>
      <c r="F4" t="s">
        <v>223</v>
      </c>
      <c r="G4" t="s">
        <v>228</v>
      </c>
      <c r="H4" t="s">
        <v>230</v>
      </c>
      <c r="I4" t="s">
        <v>234</v>
      </c>
    </row>
    <row r="5" spans="1:9" x14ac:dyDescent="0.25">
      <c r="A5" t="s">
        <v>12</v>
      </c>
      <c r="B5" t="s">
        <v>209</v>
      </c>
      <c r="C5" t="s">
        <v>211</v>
      </c>
      <c r="D5" t="s">
        <v>215</v>
      </c>
      <c r="E5" t="s">
        <v>220</v>
      </c>
      <c r="F5" t="s">
        <v>222</v>
      </c>
      <c r="G5" t="s">
        <v>227</v>
      </c>
      <c r="H5" t="s">
        <v>230</v>
      </c>
      <c r="I5" t="s">
        <v>234</v>
      </c>
    </row>
    <row r="6" spans="1:9" x14ac:dyDescent="0.25">
      <c r="A6" t="s">
        <v>13</v>
      </c>
      <c r="B6" t="s">
        <v>207</v>
      </c>
      <c r="C6" t="s">
        <v>211</v>
      </c>
      <c r="D6" t="s">
        <v>214</v>
      </c>
      <c r="E6" t="s">
        <v>220</v>
      </c>
      <c r="F6" t="s">
        <v>224</v>
      </c>
      <c r="G6" t="s">
        <v>226</v>
      </c>
      <c r="H6" t="s">
        <v>230</v>
      </c>
      <c r="I6" t="s">
        <v>235</v>
      </c>
    </row>
    <row r="7" spans="1:9" x14ac:dyDescent="0.25">
      <c r="A7" t="s">
        <v>14</v>
      </c>
      <c r="B7" t="s">
        <v>208</v>
      </c>
      <c r="C7" t="s">
        <v>211</v>
      </c>
      <c r="D7" t="s">
        <v>214</v>
      </c>
      <c r="E7" t="s">
        <v>220</v>
      </c>
      <c r="F7" t="s">
        <v>225</v>
      </c>
      <c r="G7" t="s">
        <v>227</v>
      </c>
      <c r="H7" t="s">
        <v>230</v>
      </c>
      <c r="I7" t="s">
        <v>235</v>
      </c>
    </row>
    <row r="8" spans="1:9" x14ac:dyDescent="0.25">
      <c r="A8" t="s">
        <v>15</v>
      </c>
      <c r="B8" t="s">
        <v>207</v>
      </c>
      <c r="C8" t="s">
        <v>211</v>
      </c>
      <c r="D8" t="s">
        <v>214</v>
      </c>
      <c r="E8" t="s">
        <v>218</v>
      </c>
      <c r="F8" t="s">
        <v>224</v>
      </c>
      <c r="G8" t="s">
        <v>229</v>
      </c>
      <c r="H8" t="s">
        <v>232</v>
      </c>
      <c r="I8" t="s">
        <v>236</v>
      </c>
    </row>
    <row r="9" spans="1:9" x14ac:dyDescent="0.25">
      <c r="A9" t="s">
        <v>16</v>
      </c>
      <c r="B9" t="s">
        <v>208</v>
      </c>
      <c r="C9" t="s">
        <v>212</v>
      </c>
      <c r="D9" t="s">
        <v>216</v>
      </c>
      <c r="E9" t="s">
        <v>220</v>
      </c>
      <c r="F9" t="s">
        <v>223</v>
      </c>
      <c r="G9" t="s">
        <v>228</v>
      </c>
      <c r="H9" t="s">
        <v>230</v>
      </c>
      <c r="I9" t="s">
        <v>234</v>
      </c>
    </row>
    <row r="10" spans="1:9" x14ac:dyDescent="0.25">
      <c r="A10" t="s">
        <v>17</v>
      </c>
      <c r="B10" t="s">
        <v>207</v>
      </c>
      <c r="C10" t="s">
        <v>211</v>
      </c>
      <c r="D10" t="s">
        <v>216</v>
      </c>
      <c r="E10" t="s">
        <v>221</v>
      </c>
      <c r="F10" t="s">
        <v>223</v>
      </c>
      <c r="G10" t="s">
        <v>226</v>
      </c>
      <c r="H10" t="s">
        <v>230</v>
      </c>
      <c r="I10" t="s">
        <v>234</v>
      </c>
    </row>
    <row r="11" spans="1:9" x14ac:dyDescent="0.25">
      <c r="A11" t="s">
        <v>18</v>
      </c>
      <c r="B11" t="s">
        <v>207</v>
      </c>
      <c r="C11" t="s">
        <v>211</v>
      </c>
      <c r="D11" t="s">
        <v>215</v>
      </c>
      <c r="E11" t="s">
        <v>221</v>
      </c>
      <c r="F11" t="s">
        <v>225</v>
      </c>
      <c r="G11" t="s">
        <v>227</v>
      </c>
      <c r="H11" t="s">
        <v>230</v>
      </c>
      <c r="I11" t="s">
        <v>234</v>
      </c>
    </row>
    <row r="12" spans="1:9" x14ac:dyDescent="0.25">
      <c r="A12" t="s">
        <v>19</v>
      </c>
      <c r="B12" t="s">
        <v>208</v>
      </c>
      <c r="C12" t="s">
        <v>212</v>
      </c>
      <c r="D12" t="s">
        <v>215</v>
      </c>
      <c r="E12" t="s">
        <v>221</v>
      </c>
      <c r="F12" t="s">
        <v>225</v>
      </c>
      <c r="G12" t="s">
        <v>228</v>
      </c>
      <c r="H12" t="s">
        <v>230</v>
      </c>
      <c r="I12" t="s">
        <v>237</v>
      </c>
    </row>
    <row r="13" spans="1:9" x14ac:dyDescent="0.25">
      <c r="A13" t="s">
        <v>20</v>
      </c>
      <c r="B13" t="s">
        <v>210</v>
      </c>
      <c r="C13" t="s">
        <v>211</v>
      </c>
      <c r="D13" t="s">
        <v>217</v>
      </c>
      <c r="E13" t="s">
        <v>219</v>
      </c>
      <c r="F13" t="s">
        <v>224</v>
      </c>
      <c r="G13" t="s">
        <v>227</v>
      </c>
      <c r="H13" t="s">
        <v>230</v>
      </c>
      <c r="I13" t="s">
        <v>234</v>
      </c>
    </row>
    <row r="14" spans="1:9" x14ac:dyDescent="0.25">
      <c r="A14" t="s">
        <v>21</v>
      </c>
      <c r="B14" t="s">
        <v>208</v>
      </c>
      <c r="C14" t="s">
        <v>211</v>
      </c>
      <c r="D14" t="s">
        <v>214</v>
      </c>
      <c r="E14" t="s">
        <v>219</v>
      </c>
      <c r="F14" t="s">
        <v>222</v>
      </c>
      <c r="G14" t="s">
        <v>226</v>
      </c>
      <c r="H14" t="s">
        <v>230</v>
      </c>
      <c r="I14" t="s">
        <v>234</v>
      </c>
    </row>
    <row r="15" spans="1:9" x14ac:dyDescent="0.25">
      <c r="A15" t="s">
        <v>22</v>
      </c>
      <c r="B15" t="s">
        <v>209</v>
      </c>
      <c r="C15" t="s">
        <v>211</v>
      </c>
      <c r="D15" t="s">
        <v>214</v>
      </c>
      <c r="E15" t="s">
        <v>220</v>
      </c>
      <c r="F15" t="s">
        <v>224</v>
      </c>
      <c r="G15" t="s">
        <v>227</v>
      </c>
      <c r="H15" t="s">
        <v>230</v>
      </c>
      <c r="I15" t="s">
        <v>234</v>
      </c>
    </row>
    <row r="16" spans="1:9" x14ac:dyDescent="0.25">
      <c r="A16" t="s">
        <v>23</v>
      </c>
      <c r="B16" t="s">
        <v>209</v>
      </c>
      <c r="C16" t="s">
        <v>211</v>
      </c>
      <c r="D16" t="s">
        <v>217</v>
      </c>
      <c r="E16" t="s">
        <v>219</v>
      </c>
      <c r="F16" t="s">
        <v>225</v>
      </c>
      <c r="G16" t="s">
        <v>227</v>
      </c>
      <c r="H16" t="s">
        <v>230</v>
      </c>
      <c r="I16" t="s">
        <v>234</v>
      </c>
    </row>
    <row r="17" spans="1:9" x14ac:dyDescent="0.25">
      <c r="A17" t="s">
        <v>24</v>
      </c>
      <c r="B17" t="s">
        <v>208</v>
      </c>
      <c r="C17" t="s">
        <v>211</v>
      </c>
      <c r="D17" t="s">
        <v>217</v>
      </c>
      <c r="E17" t="s">
        <v>220</v>
      </c>
      <c r="F17" t="s">
        <v>222</v>
      </c>
      <c r="G17" t="s">
        <v>229</v>
      </c>
      <c r="H17" t="s">
        <v>230</v>
      </c>
      <c r="I17" t="s">
        <v>235</v>
      </c>
    </row>
    <row r="18" spans="1:9" x14ac:dyDescent="0.25">
      <c r="A18" t="s">
        <v>25</v>
      </c>
      <c r="B18" t="s">
        <v>209</v>
      </c>
      <c r="C18" t="s">
        <v>211</v>
      </c>
      <c r="D18" t="s">
        <v>216</v>
      </c>
      <c r="E18" t="s">
        <v>219</v>
      </c>
      <c r="F18" t="s">
        <v>224</v>
      </c>
      <c r="G18" t="s">
        <v>227</v>
      </c>
      <c r="H18" t="s">
        <v>232</v>
      </c>
      <c r="I18" t="s">
        <v>234</v>
      </c>
    </row>
    <row r="19" spans="1:9" x14ac:dyDescent="0.25">
      <c r="A19" t="s">
        <v>26</v>
      </c>
      <c r="B19" t="s">
        <v>208</v>
      </c>
      <c r="C19" t="s">
        <v>212</v>
      </c>
      <c r="D19" t="s">
        <v>214</v>
      </c>
      <c r="E19" t="s">
        <v>220</v>
      </c>
      <c r="F19" t="s">
        <v>224</v>
      </c>
      <c r="G19" t="s">
        <v>226</v>
      </c>
      <c r="H19" t="s">
        <v>230</v>
      </c>
      <c r="I19" t="s">
        <v>234</v>
      </c>
    </row>
    <row r="20" spans="1:9" x14ac:dyDescent="0.25">
      <c r="A20" t="s">
        <v>27</v>
      </c>
      <c r="B20" t="s">
        <v>207</v>
      </c>
      <c r="C20" t="s">
        <v>211</v>
      </c>
      <c r="D20" t="s">
        <v>214</v>
      </c>
      <c r="E20" t="s">
        <v>219</v>
      </c>
      <c r="F20" t="s">
        <v>225</v>
      </c>
      <c r="G20" t="s">
        <v>228</v>
      </c>
      <c r="H20" t="s">
        <v>230</v>
      </c>
      <c r="I20" t="s">
        <v>235</v>
      </c>
    </row>
    <row r="21" spans="1:9" x14ac:dyDescent="0.25">
      <c r="A21" t="s">
        <v>28</v>
      </c>
      <c r="B21" t="s">
        <v>208</v>
      </c>
      <c r="C21" t="s">
        <v>211</v>
      </c>
      <c r="D21" t="s">
        <v>216</v>
      </c>
      <c r="E21" t="s">
        <v>218</v>
      </c>
      <c r="F21" t="s">
        <v>224</v>
      </c>
      <c r="G21" t="s">
        <v>228</v>
      </c>
      <c r="H21" t="s">
        <v>230</v>
      </c>
      <c r="I21" t="s">
        <v>235</v>
      </c>
    </row>
    <row r="22" spans="1:9" x14ac:dyDescent="0.25">
      <c r="A22" t="s">
        <v>29</v>
      </c>
      <c r="B22" t="s">
        <v>208</v>
      </c>
      <c r="C22" t="s">
        <v>211</v>
      </c>
      <c r="D22" t="s">
        <v>214</v>
      </c>
      <c r="E22" t="s">
        <v>220</v>
      </c>
      <c r="F22" t="s">
        <v>224</v>
      </c>
      <c r="G22" t="s">
        <v>226</v>
      </c>
      <c r="H22" t="s">
        <v>230</v>
      </c>
      <c r="I22" t="s">
        <v>234</v>
      </c>
    </row>
    <row r="23" spans="1:9" x14ac:dyDescent="0.25">
      <c r="A23" t="s">
        <v>30</v>
      </c>
      <c r="B23" t="s">
        <v>207</v>
      </c>
      <c r="C23" t="s">
        <v>213</v>
      </c>
      <c r="D23" t="s">
        <v>214</v>
      </c>
      <c r="E23" t="s">
        <v>219</v>
      </c>
      <c r="F23" t="s">
        <v>222</v>
      </c>
      <c r="G23" t="s">
        <v>228</v>
      </c>
      <c r="H23" t="s">
        <v>230</v>
      </c>
      <c r="I23" t="s">
        <v>235</v>
      </c>
    </row>
    <row r="24" spans="1:9" x14ac:dyDescent="0.25">
      <c r="A24" t="s">
        <v>31</v>
      </c>
      <c r="B24" t="s">
        <v>207</v>
      </c>
      <c r="C24" t="s">
        <v>211</v>
      </c>
      <c r="D24" t="s">
        <v>217</v>
      </c>
      <c r="E24" t="s">
        <v>219</v>
      </c>
      <c r="F24" t="s">
        <v>224</v>
      </c>
      <c r="G24" t="s">
        <v>227</v>
      </c>
      <c r="H24" t="s">
        <v>230</v>
      </c>
      <c r="I24" t="s">
        <v>234</v>
      </c>
    </row>
    <row r="25" spans="1:9" x14ac:dyDescent="0.25">
      <c r="A25" t="s">
        <v>32</v>
      </c>
      <c r="B25" t="s">
        <v>207</v>
      </c>
      <c r="C25" t="s">
        <v>213</v>
      </c>
      <c r="D25" t="s">
        <v>217</v>
      </c>
      <c r="E25" t="s">
        <v>219</v>
      </c>
      <c r="F25" t="s">
        <v>223</v>
      </c>
      <c r="G25" t="s">
        <v>228</v>
      </c>
      <c r="H25" t="s">
        <v>230</v>
      </c>
      <c r="I25" t="s">
        <v>234</v>
      </c>
    </row>
    <row r="26" spans="1:9" x14ac:dyDescent="0.25">
      <c r="A26" t="s">
        <v>33</v>
      </c>
      <c r="B26" t="s">
        <v>207</v>
      </c>
      <c r="C26" t="s">
        <v>213</v>
      </c>
      <c r="D26" t="s">
        <v>217</v>
      </c>
      <c r="E26" t="s">
        <v>218</v>
      </c>
      <c r="F26" t="s">
        <v>224</v>
      </c>
      <c r="G26" t="s">
        <v>227</v>
      </c>
      <c r="H26" t="s">
        <v>230</v>
      </c>
      <c r="I26" t="s">
        <v>234</v>
      </c>
    </row>
    <row r="27" spans="1:9" x14ac:dyDescent="0.25">
      <c r="A27" t="s">
        <v>34</v>
      </c>
      <c r="B27" t="s">
        <v>207</v>
      </c>
      <c r="C27" t="s">
        <v>211</v>
      </c>
      <c r="D27" t="s">
        <v>216</v>
      </c>
      <c r="E27" t="s">
        <v>220</v>
      </c>
      <c r="F27" t="s">
        <v>225</v>
      </c>
      <c r="G27" t="s">
        <v>228</v>
      </c>
      <c r="H27" t="s">
        <v>230</v>
      </c>
      <c r="I27" t="s">
        <v>234</v>
      </c>
    </row>
    <row r="28" spans="1:9" x14ac:dyDescent="0.25">
      <c r="A28" t="s">
        <v>35</v>
      </c>
      <c r="B28" t="s">
        <v>208</v>
      </c>
      <c r="C28" t="s">
        <v>211</v>
      </c>
      <c r="D28" t="s">
        <v>214</v>
      </c>
      <c r="E28" t="s">
        <v>219</v>
      </c>
      <c r="F28" t="s">
        <v>222</v>
      </c>
      <c r="G28" t="s">
        <v>227</v>
      </c>
      <c r="H28" t="s">
        <v>230</v>
      </c>
      <c r="I28" t="s">
        <v>234</v>
      </c>
    </row>
    <row r="29" spans="1:9" x14ac:dyDescent="0.25">
      <c r="A29" t="s">
        <v>36</v>
      </c>
      <c r="B29" t="s">
        <v>207</v>
      </c>
      <c r="C29" t="s">
        <v>211</v>
      </c>
      <c r="D29" t="s">
        <v>214</v>
      </c>
      <c r="E29" t="s">
        <v>219</v>
      </c>
      <c r="F29" t="s">
        <v>223</v>
      </c>
      <c r="G29" t="s">
        <v>227</v>
      </c>
      <c r="H29" t="s">
        <v>233</v>
      </c>
      <c r="I29" t="s">
        <v>234</v>
      </c>
    </row>
    <row r="30" spans="1:9" x14ac:dyDescent="0.25">
      <c r="A30" t="s">
        <v>37</v>
      </c>
      <c r="B30" t="s">
        <v>207</v>
      </c>
      <c r="C30" t="s">
        <v>211</v>
      </c>
      <c r="D30" t="s">
        <v>214</v>
      </c>
      <c r="E30" t="s">
        <v>220</v>
      </c>
      <c r="F30" t="s">
        <v>224</v>
      </c>
      <c r="G30" t="s">
        <v>229</v>
      </c>
      <c r="H30" t="s">
        <v>230</v>
      </c>
      <c r="I30" t="s">
        <v>234</v>
      </c>
    </row>
    <row r="31" spans="1:9" x14ac:dyDescent="0.25">
      <c r="A31" t="s">
        <v>38</v>
      </c>
      <c r="B31" t="s">
        <v>207</v>
      </c>
      <c r="C31" t="s">
        <v>213</v>
      </c>
      <c r="D31" t="s">
        <v>214</v>
      </c>
      <c r="E31" t="s">
        <v>221</v>
      </c>
      <c r="F31" t="s">
        <v>222</v>
      </c>
      <c r="G31" t="s">
        <v>227</v>
      </c>
      <c r="H31" t="s">
        <v>230</v>
      </c>
      <c r="I31" t="s">
        <v>234</v>
      </c>
    </row>
    <row r="32" spans="1:9" x14ac:dyDescent="0.25">
      <c r="A32" t="s">
        <v>39</v>
      </c>
      <c r="B32" t="s">
        <v>209</v>
      </c>
      <c r="C32" t="s">
        <v>211</v>
      </c>
      <c r="D32" t="s">
        <v>217</v>
      </c>
      <c r="E32" t="s">
        <v>221</v>
      </c>
      <c r="F32" t="s">
        <v>224</v>
      </c>
      <c r="G32" t="s">
        <v>227</v>
      </c>
      <c r="H32" t="s">
        <v>230</v>
      </c>
      <c r="I32" t="s">
        <v>234</v>
      </c>
    </row>
    <row r="33" spans="1:9" x14ac:dyDescent="0.25">
      <c r="A33" t="s">
        <v>40</v>
      </c>
      <c r="B33" t="s">
        <v>207</v>
      </c>
      <c r="C33" t="s">
        <v>212</v>
      </c>
      <c r="D33" t="s">
        <v>214</v>
      </c>
      <c r="E33" t="s">
        <v>220</v>
      </c>
      <c r="F33" t="s">
        <v>225</v>
      </c>
      <c r="G33" t="s">
        <v>227</v>
      </c>
      <c r="H33" t="s">
        <v>230</v>
      </c>
      <c r="I33" t="s">
        <v>235</v>
      </c>
    </row>
    <row r="34" spans="1:9" x14ac:dyDescent="0.25">
      <c r="A34" t="s">
        <v>41</v>
      </c>
      <c r="B34" t="s">
        <v>208</v>
      </c>
      <c r="C34" t="s">
        <v>211</v>
      </c>
      <c r="D34" t="s">
        <v>217</v>
      </c>
      <c r="E34" t="s">
        <v>221</v>
      </c>
      <c r="F34" t="s">
        <v>222</v>
      </c>
      <c r="G34" t="s">
        <v>226</v>
      </c>
      <c r="H34" t="s">
        <v>230</v>
      </c>
      <c r="I34" t="s">
        <v>236</v>
      </c>
    </row>
    <row r="35" spans="1:9" x14ac:dyDescent="0.25">
      <c r="A35" t="s">
        <v>42</v>
      </c>
      <c r="B35" t="s">
        <v>210</v>
      </c>
      <c r="C35" t="s">
        <v>211</v>
      </c>
      <c r="D35" t="s">
        <v>214</v>
      </c>
      <c r="E35" t="s">
        <v>219</v>
      </c>
      <c r="F35" t="s">
        <v>225</v>
      </c>
      <c r="G35" t="s">
        <v>227</v>
      </c>
      <c r="H35" t="s">
        <v>230</v>
      </c>
      <c r="I35" t="s">
        <v>237</v>
      </c>
    </row>
    <row r="36" spans="1:9" x14ac:dyDescent="0.25">
      <c r="A36" t="s">
        <v>43</v>
      </c>
      <c r="B36" t="s">
        <v>208</v>
      </c>
      <c r="C36" t="s">
        <v>211</v>
      </c>
      <c r="D36" t="s">
        <v>214</v>
      </c>
      <c r="E36" t="s">
        <v>219</v>
      </c>
      <c r="F36" t="s">
        <v>224</v>
      </c>
      <c r="G36" t="s">
        <v>226</v>
      </c>
      <c r="H36" t="s">
        <v>230</v>
      </c>
      <c r="I36" t="s">
        <v>234</v>
      </c>
    </row>
    <row r="37" spans="1:9" x14ac:dyDescent="0.25">
      <c r="A37" t="s">
        <v>44</v>
      </c>
      <c r="B37" t="s">
        <v>207</v>
      </c>
      <c r="C37" t="s">
        <v>211</v>
      </c>
      <c r="D37" t="s">
        <v>217</v>
      </c>
      <c r="E37" t="s">
        <v>221</v>
      </c>
      <c r="F37" t="s">
        <v>224</v>
      </c>
      <c r="G37" t="s">
        <v>226</v>
      </c>
      <c r="H37" t="s">
        <v>231</v>
      </c>
      <c r="I37" t="s">
        <v>234</v>
      </c>
    </row>
    <row r="38" spans="1:9" x14ac:dyDescent="0.25">
      <c r="A38" t="s">
        <v>45</v>
      </c>
      <c r="B38" t="s">
        <v>210</v>
      </c>
      <c r="C38" t="s">
        <v>211</v>
      </c>
      <c r="D38" t="s">
        <v>214</v>
      </c>
      <c r="E38" t="s">
        <v>219</v>
      </c>
      <c r="F38" t="s">
        <v>224</v>
      </c>
      <c r="G38" t="s">
        <v>228</v>
      </c>
      <c r="H38" t="s">
        <v>230</v>
      </c>
      <c r="I38" t="s">
        <v>234</v>
      </c>
    </row>
    <row r="39" spans="1:9" x14ac:dyDescent="0.25">
      <c r="A39" t="s">
        <v>46</v>
      </c>
      <c r="B39" t="s">
        <v>209</v>
      </c>
      <c r="C39" t="s">
        <v>213</v>
      </c>
      <c r="D39" t="s">
        <v>216</v>
      </c>
      <c r="E39" t="s">
        <v>218</v>
      </c>
      <c r="F39" t="s">
        <v>224</v>
      </c>
      <c r="G39" t="s">
        <v>226</v>
      </c>
      <c r="H39" t="s">
        <v>230</v>
      </c>
      <c r="I39" t="s">
        <v>234</v>
      </c>
    </row>
    <row r="40" spans="1:9" x14ac:dyDescent="0.25">
      <c r="A40" t="s">
        <v>47</v>
      </c>
      <c r="B40" t="s">
        <v>208</v>
      </c>
      <c r="C40" t="s">
        <v>211</v>
      </c>
      <c r="D40" t="s">
        <v>214</v>
      </c>
      <c r="E40" t="s">
        <v>220</v>
      </c>
      <c r="F40" t="s">
        <v>223</v>
      </c>
      <c r="G40" t="s">
        <v>226</v>
      </c>
      <c r="H40" t="s">
        <v>230</v>
      </c>
      <c r="I40" t="s">
        <v>234</v>
      </c>
    </row>
    <row r="41" spans="1:9" x14ac:dyDescent="0.25">
      <c r="A41" t="s">
        <v>48</v>
      </c>
      <c r="B41" t="s">
        <v>207</v>
      </c>
      <c r="C41" t="s">
        <v>211</v>
      </c>
      <c r="D41" t="s">
        <v>216</v>
      </c>
      <c r="E41" t="s">
        <v>220</v>
      </c>
      <c r="F41" t="s">
        <v>223</v>
      </c>
      <c r="G41" t="s">
        <v>227</v>
      </c>
      <c r="H41" t="s">
        <v>230</v>
      </c>
      <c r="I41" t="s">
        <v>234</v>
      </c>
    </row>
    <row r="42" spans="1:9" x14ac:dyDescent="0.25">
      <c r="A42" t="s">
        <v>49</v>
      </c>
      <c r="B42" t="s">
        <v>209</v>
      </c>
      <c r="C42" t="s">
        <v>211</v>
      </c>
      <c r="D42" t="s">
        <v>216</v>
      </c>
      <c r="E42" t="s">
        <v>221</v>
      </c>
      <c r="F42" t="s">
        <v>224</v>
      </c>
      <c r="G42" t="s">
        <v>227</v>
      </c>
      <c r="H42" t="s">
        <v>230</v>
      </c>
      <c r="I42" t="s">
        <v>234</v>
      </c>
    </row>
    <row r="43" spans="1:9" x14ac:dyDescent="0.25">
      <c r="A43" t="s">
        <v>50</v>
      </c>
      <c r="B43" t="s">
        <v>208</v>
      </c>
      <c r="C43" t="s">
        <v>213</v>
      </c>
      <c r="D43" t="s">
        <v>216</v>
      </c>
      <c r="E43" t="s">
        <v>218</v>
      </c>
      <c r="F43" t="s">
        <v>223</v>
      </c>
      <c r="G43" t="s">
        <v>226</v>
      </c>
      <c r="H43" t="s">
        <v>230</v>
      </c>
      <c r="I43" t="s">
        <v>234</v>
      </c>
    </row>
    <row r="44" spans="1:9" x14ac:dyDescent="0.25">
      <c r="A44" t="s">
        <v>51</v>
      </c>
      <c r="B44" t="s">
        <v>207</v>
      </c>
      <c r="C44" t="s">
        <v>211</v>
      </c>
      <c r="D44" t="s">
        <v>214</v>
      </c>
      <c r="E44" t="s">
        <v>221</v>
      </c>
      <c r="F44" t="s">
        <v>222</v>
      </c>
      <c r="G44" t="s">
        <v>227</v>
      </c>
      <c r="H44" t="s">
        <v>230</v>
      </c>
      <c r="I44" t="s">
        <v>234</v>
      </c>
    </row>
    <row r="45" spans="1:9" x14ac:dyDescent="0.25">
      <c r="A45" t="s">
        <v>52</v>
      </c>
      <c r="B45" t="s">
        <v>207</v>
      </c>
      <c r="C45" t="s">
        <v>211</v>
      </c>
      <c r="D45" t="s">
        <v>217</v>
      </c>
      <c r="E45" t="s">
        <v>219</v>
      </c>
      <c r="F45" t="s">
        <v>225</v>
      </c>
      <c r="G45" t="s">
        <v>226</v>
      </c>
      <c r="H45" t="s">
        <v>230</v>
      </c>
      <c r="I45" t="s">
        <v>235</v>
      </c>
    </row>
    <row r="46" spans="1:9" x14ac:dyDescent="0.25">
      <c r="A46" t="s">
        <v>53</v>
      </c>
      <c r="B46" t="s">
        <v>210</v>
      </c>
      <c r="C46" t="s">
        <v>213</v>
      </c>
      <c r="D46" t="s">
        <v>214</v>
      </c>
      <c r="E46" t="s">
        <v>218</v>
      </c>
      <c r="F46" t="s">
        <v>222</v>
      </c>
      <c r="G46" t="s">
        <v>226</v>
      </c>
      <c r="H46" t="s">
        <v>231</v>
      </c>
      <c r="I46" t="s">
        <v>235</v>
      </c>
    </row>
    <row r="47" spans="1:9" x14ac:dyDescent="0.25">
      <c r="A47" t="s">
        <v>54</v>
      </c>
      <c r="B47" t="s">
        <v>207</v>
      </c>
      <c r="C47" t="s">
        <v>212</v>
      </c>
      <c r="D47" t="s">
        <v>216</v>
      </c>
      <c r="E47" t="s">
        <v>218</v>
      </c>
      <c r="F47" t="s">
        <v>225</v>
      </c>
      <c r="G47" t="s">
        <v>227</v>
      </c>
      <c r="H47" t="s">
        <v>230</v>
      </c>
      <c r="I47" t="s">
        <v>235</v>
      </c>
    </row>
    <row r="48" spans="1:9" x14ac:dyDescent="0.25">
      <c r="A48" t="s">
        <v>55</v>
      </c>
      <c r="B48" t="s">
        <v>207</v>
      </c>
      <c r="C48" t="s">
        <v>211</v>
      </c>
      <c r="D48" t="s">
        <v>216</v>
      </c>
      <c r="E48" t="s">
        <v>219</v>
      </c>
      <c r="F48" t="s">
        <v>225</v>
      </c>
      <c r="G48" t="s">
        <v>226</v>
      </c>
      <c r="H48" t="s">
        <v>230</v>
      </c>
      <c r="I48" t="s">
        <v>234</v>
      </c>
    </row>
    <row r="49" spans="1:9" x14ac:dyDescent="0.25">
      <c r="A49" t="s">
        <v>56</v>
      </c>
      <c r="B49" t="s">
        <v>207</v>
      </c>
      <c r="C49" t="s">
        <v>211</v>
      </c>
      <c r="D49" t="s">
        <v>216</v>
      </c>
      <c r="E49" t="s">
        <v>219</v>
      </c>
      <c r="F49" t="s">
        <v>224</v>
      </c>
      <c r="G49" t="s">
        <v>226</v>
      </c>
      <c r="H49" t="s">
        <v>230</v>
      </c>
      <c r="I49" t="s">
        <v>234</v>
      </c>
    </row>
    <row r="50" spans="1:9" x14ac:dyDescent="0.25">
      <c r="A50" t="s">
        <v>57</v>
      </c>
      <c r="B50" t="s">
        <v>207</v>
      </c>
      <c r="C50" t="s">
        <v>213</v>
      </c>
      <c r="D50" t="s">
        <v>214</v>
      </c>
      <c r="E50" t="s">
        <v>218</v>
      </c>
      <c r="F50" t="s">
        <v>223</v>
      </c>
      <c r="G50" t="s">
        <v>227</v>
      </c>
      <c r="H50" t="s">
        <v>230</v>
      </c>
      <c r="I50" t="s">
        <v>234</v>
      </c>
    </row>
    <row r="51" spans="1:9" x14ac:dyDescent="0.25">
      <c r="A51" t="s">
        <v>58</v>
      </c>
      <c r="B51" t="s">
        <v>207</v>
      </c>
      <c r="C51" t="s">
        <v>212</v>
      </c>
      <c r="D51" t="s">
        <v>217</v>
      </c>
      <c r="E51" t="s">
        <v>219</v>
      </c>
      <c r="F51" t="s">
        <v>222</v>
      </c>
      <c r="G51" t="s">
        <v>228</v>
      </c>
      <c r="H51" t="s">
        <v>230</v>
      </c>
      <c r="I51" t="s">
        <v>234</v>
      </c>
    </row>
    <row r="52" spans="1:9" x14ac:dyDescent="0.25">
      <c r="A52" t="s">
        <v>59</v>
      </c>
      <c r="B52" t="s">
        <v>208</v>
      </c>
      <c r="C52" t="s">
        <v>212</v>
      </c>
      <c r="D52" t="s">
        <v>214</v>
      </c>
      <c r="E52" t="s">
        <v>220</v>
      </c>
      <c r="F52" t="s">
        <v>225</v>
      </c>
      <c r="G52" t="s">
        <v>226</v>
      </c>
      <c r="H52" t="s">
        <v>230</v>
      </c>
      <c r="I52" t="s">
        <v>236</v>
      </c>
    </row>
    <row r="53" spans="1:9" x14ac:dyDescent="0.25">
      <c r="A53" t="s">
        <v>60</v>
      </c>
      <c r="B53" t="s">
        <v>210</v>
      </c>
      <c r="C53" t="s">
        <v>211</v>
      </c>
      <c r="D53" t="s">
        <v>216</v>
      </c>
      <c r="E53" t="s">
        <v>221</v>
      </c>
      <c r="F53" t="s">
        <v>225</v>
      </c>
      <c r="G53" t="s">
        <v>227</v>
      </c>
      <c r="H53" t="s">
        <v>231</v>
      </c>
      <c r="I53" t="s">
        <v>234</v>
      </c>
    </row>
    <row r="54" spans="1:9" x14ac:dyDescent="0.25">
      <c r="A54" t="s">
        <v>61</v>
      </c>
      <c r="B54" t="s">
        <v>208</v>
      </c>
      <c r="C54" t="s">
        <v>213</v>
      </c>
      <c r="D54" t="s">
        <v>216</v>
      </c>
      <c r="E54" t="s">
        <v>219</v>
      </c>
      <c r="F54" t="s">
        <v>223</v>
      </c>
      <c r="G54" t="s">
        <v>227</v>
      </c>
      <c r="H54" t="s">
        <v>232</v>
      </c>
      <c r="I54" t="s">
        <v>235</v>
      </c>
    </row>
    <row r="55" spans="1:9" x14ac:dyDescent="0.25">
      <c r="A55" t="s">
        <v>62</v>
      </c>
      <c r="B55" t="s">
        <v>207</v>
      </c>
      <c r="C55" t="s">
        <v>211</v>
      </c>
      <c r="D55" t="s">
        <v>217</v>
      </c>
      <c r="E55" t="s">
        <v>221</v>
      </c>
      <c r="F55" t="s">
        <v>222</v>
      </c>
      <c r="G55" t="s">
        <v>226</v>
      </c>
      <c r="H55" t="s">
        <v>231</v>
      </c>
      <c r="I55" t="s">
        <v>234</v>
      </c>
    </row>
    <row r="56" spans="1:9" x14ac:dyDescent="0.25">
      <c r="A56" t="s">
        <v>63</v>
      </c>
      <c r="B56" t="s">
        <v>207</v>
      </c>
      <c r="C56" t="s">
        <v>211</v>
      </c>
      <c r="D56" t="s">
        <v>214</v>
      </c>
      <c r="E56" t="s">
        <v>218</v>
      </c>
      <c r="F56" t="s">
        <v>224</v>
      </c>
      <c r="G56" t="s">
        <v>227</v>
      </c>
      <c r="H56" t="s">
        <v>230</v>
      </c>
      <c r="I56" t="s">
        <v>234</v>
      </c>
    </row>
    <row r="57" spans="1:9" x14ac:dyDescent="0.25">
      <c r="A57" t="s">
        <v>64</v>
      </c>
      <c r="B57" t="s">
        <v>207</v>
      </c>
      <c r="C57" t="s">
        <v>211</v>
      </c>
      <c r="D57" t="s">
        <v>214</v>
      </c>
      <c r="E57" t="s">
        <v>220</v>
      </c>
      <c r="F57" t="s">
        <v>223</v>
      </c>
      <c r="G57" t="s">
        <v>227</v>
      </c>
      <c r="H57" t="s">
        <v>230</v>
      </c>
      <c r="I57" t="s">
        <v>234</v>
      </c>
    </row>
    <row r="58" spans="1:9" x14ac:dyDescent="0.25">
      <c r="A58" t="s">
        <v>65</v>
      </c>
      <c r="B58" t="s">
        <v>210</v>
      </c>
      <c r="C58" t="s">
        <v>211</v>
      </c>
      <c r="D58" t="s">
        <v>217</v>
      </c>
      <c r="E58" t="s">
        <v>218</v>
      </c>
      <c r="F58" t="s">
        <v>222</v>
      </c>
      <c r="G58" t="s">
        <v>226</v>
      </c>
      <c r="H58" t="s">
        <v>230</v>
      </c>
      <c r="I58" t="s">
        <v>237</v>
      </c>
    </row>
    <row r="59" spans="1:9" x14ac:dyDescent="0.25">
      <c r="A59" t="s">
        <v>66</v>
      </c>
      <c r="B59" t="s">
        <v>209</v>
      </c>
      <c r="C59" t="s">
        <v>212</v>
      </c>
      <c r="D59" t="s">
        <v>214</v>
      </c>
      <c r="E59" t="s">
        <v>218</v>
      </c>
      <c r="F59" t="s">
        <v>222</v>
      </c>
      <c r="G59" t="s">
        <v>227</v>
      </c>
      <c r="H59" t="s">
        <v>230</v>
      </c>
      <c r="I59" t="s">
        <v>234</v>
      </c>
    </row>
    <row r="60" spans="1:9" x14ac:dyDescent="0.25">
      <c r="A60" t="s">
        <v>67</v>
      </c>
      <c r="B60" t="s">
        <v>207</v>
      </c>
      <c r="C60" t="s">
        <v>211</v>
      </c>
      <c r="D60" t="s">
        <v>214</v>
      </c>
      <c r="E60" t="s">
        <v>219</v>
      </c>
      <c r="F60" t="s">
        <v>224</v>
      </c>
      <c r="G60" t="s">
        <v>228</v>
      </c>
      <c r="H60" t="s">
        <v>230</v>
      </c>
      <c r="I60" t="s">
        <v>234</v>
      </c>
    </row>
    <row r="61" spans="1:9" x14ac:dyDescent="0.25">
      <c r="A61" t="s">
        <v>68</v>
      </c>
      <c r="B61" t="s">
        <v>208</v>
      </c>
      <c r="C61" t="s">
        <v>212</v>
      </c>
      <c r="D61" t="s">
        <v>217</v>
      </c>
      <c r="E61" t="s">
        <v>218</v>
      </c>
      <c r="F61" t="s">
        <v>225</v>
      </c>
      <c r="G61" t="s">
        <v>227</v>
      </c>
      <c r="H61" t="s">
        <v>230</v>
      </c>
      <c r="I61" t="s">
        <v>234</v>
      </c>
    </row>
    <row r="62" spans="1:9" x14ac:dyDescent="0.25">
      <c r="A62" t="s">
        <v>69</v>
      </c>
      <c r="B62" t="s">
        <v>207</v>
      </c>
      <c r="C62" t="s">
        <v>213</v>
      </c>
      <c r="D62" t="s">
        <v>217</v>
      </c>
      <c r="E62" t="s">
        <v>219</v>
      </c>
      <c r="F62" t="s">
        <v>222</v>
      </c>
      <c r="G62" t="s">
        <v>226</v>
      </c>
      <c r="H62" t="s">
        <v>230</v>
      </c>
      <c r="I62" t="s">
        <v>234</v>
      </c>
    </row>
    <row r="63" spans="1:9" x14ac:dyDescent="0.25">
      <c r="A63" t="s">
        <v>70</v>
      </c>
      <c r="B63" t="s">
        <v>208</v>
      </c>
      <c r="C63" t="s">
        <v>211</v>
      </c>
      <c r="D63" t="s">
        <v>216</v>
      </c>
      <c r="E63" t="s">
        <v>221</v>
      </c>
      <c r="F63" t="s">
        <v>223</v>
      </c>
      <c r="G63" t="s">
        <v>227</v>
      </c>
      <c r="H63" t="s">
        <v>230</v>
      </c>
      <c r="I63" t="s">
        <v>234</v>
      </c>
    </row>
    <row r="64" spans="1:9" x14ac:dyDescent="0.25">
      <c r="A64" t="s">
        <v>71</v>
      </c>
      <c r="B64" t="s">
        <v>209</v>
      </c>
      <c r="C64" t="s">
        <v>213</v>
      </c>
      <c r="D64" t="s">
        <v>217</v>
      </c>
      <c r="E64" t="s">
        <v>221</v>
      </c>
      <c r="F64" t="s">
        <v>225</v>
      </c>
      <c r="G64" t="s">
        <v>226</v>
      </c>
      <c r="H64" t="s">
        <v>230</v>
      </c>
      <c r="I64" t="s">
        <v>234</v>
      </c>
    </row>
    <row r="65" spans="1:9" x14ac:dyDescent="0.25">
      <c r="A65" t="s">
        <v>72</v>
      </c>
      <c r="B65" t="s">
        <v>207</v>
      </c>
      <c r="C65" t="s">
        <v>211</v>
      </c>
      <c r="D65" t="s">
        <v>217</v>
      </c>
      <c r="E65" t="s">
        <v>218</v>
      </c>
      <c r="F65" t="s">
        <v>223</v>
      </c>
      <c r="G65" t="s">
        <v>228</v>
      </c>
      <c r="H65" t="s">
        <v>230</v>
      </c>
      <c r="I65" t="s">
        <v>235</v>
      </c>
    </row>
    <row r="66" spans="1:9" x14ac:dyDescent="0.25">
      <c r="A66" t="s">
        <v>73</v>
      </c>
      <c r="B66" t="s">
        <v>208</v>
      </c>
      <c r="C66" t="s">
        <v>213</v>
      </c>
      <c r="D66" t="s">
        <v>214</v>
      </c>
      <c r="E66" t="s">
        <v>219</v>
      </c>
      <c r="F66" t="s">
        <v>225</v>
      </c>
      <c r="G66" t="s">
        <v>226</v>
      </c>
      <c r="H66" t="s">
        <v>230</v>
      </c>
      <c r="I66" t="s">
        <v>234</v>
      </c>
    </row>
    <row r="67" spans="1:9" x14ac:dyDescent="0.25">
      <c r="A67" t="s">
        <v>74</v>
      </c>
      <c r="B67" t="s">
        <v>208</v>
      </c>
      <c r="C67" t="s">
        <v>213</v>
      </c>
      <c r="D67" t="s">
        <v>217</v>
      </c>
      <c r="E67" t="s">
        <v>218</v>
      </c>
      <c r="F67" t="s">
        <v>223</v>
      </c>
      <c r="G67" t="s">
        <v>226</v>
      </c>
      <c r="H67" t="s">
        <v>230</v>
      </c>
      <c r="I67" t="s">
        <v>234</v>
      </c>
    </row>
    <row r="68" spans="1:9" x14ac:dyDescent="0.25">
      <c r="A68" t="s">
        <v>75</v>
      </c>
      <c r="B68" t="s">
        <v>209</v>
      </c>
      <c r="C68" t="s">
        <v>213</v>
      </c>
      <c r="D68" t="s">
        <v>215</v>
      </c>
      <c r="E68" t="s">
        <v>221</v>
      </c>
      <c r="F68" t="s">
        <v>224</v>
      </c>
      <c r="G68" t="s">
        <v>226</v>
      </c>
      <c r="H68" t="s">
        <v>231</v>
      </c>
      <c r="I68" t="s">
        <v>234</v>
      </c>
    </row>
    <row r="69" spans="1:9" x14ac:dyDescent="0.25">
      <c r="A69" t="s">
        <v>76</v>
      </c>
      <c r="B69" t="s">
        <v>209</v>
      </c>
      <c r="C69" t="s">
        <v>211</v>
      </c>
      <c r="D69" t="s">
        <v>217</v>
      </c>
      <c r="E69" t="s">
        <v>220</v>
      </c>
      <c r="F69" t="s">
        <v>225</v>
      </c>
      <c r="G69" t="s">
        <v>226</v>
      </c>
      <c r="H69" t="s">
        <v>231</v>
      </c>
      <c r="I69" t="s">
        <v>234</v>
      </c>
    </row>
    <row r="70" spans="1:9" x14ac:dyDescent="0.25">
      <c r="A70" t="s">
        <v>77</v>
      </c>
      <c r="B70" t="s">
        <v>207</v>
      </c>
      <c r="C70" t="s">
        <v>211</v>
      </c>
      <c r="D70" t="s">
        <v>215</v>
      </c>
      <c r="E70" t="s">
        <v>219</v>
      </c>
      <c r="F70" t="s">
        <v>222</v>
      </c>
      <c r="G70" t="s">
        <v>228</v>
      </c>
      <c r="H70" t="s">
        <v>230</v>
      </c>
      <c r="I70" t="s">
        <v>235</v>
      </c>
    </row>
    <row r="71" spans="1:9" x14ac:dyDescent="0.25">
      <c r="A71" t="s">
        <v>78</v>
      </c>
      <c r="B71" t="s">
        <v>207</v>
      </c>
      <c r="C71" t="s">
        <v>211</v>
      </c>
      <c r="D71" t="s">
        <v>217</v>
      </c>
      <c r="E71" t="s">
        <v>220</v>
      </c>
      <c r="F71" t="s">
        <v>225</v>
      </c>
      <c r="G71" t="s">
        <v>226</v>
      </c>
      <c r="H71" t="s">
        <v>230</v>
      </c>
      <c r="I71" t="s">
        <v>234</v>
      </c>
    </row>
    <row r="72" spans="1:9" x14ac:dyDescent="0.25">
      <c r="A72" t="s">
        <v>79</v>
      </c>
      <c r="B72" t="s">
        <v>210</v>
      </c>
      <c r="C72" t="s">
        <v>211</v>
      </c>
      <c r="D72" t="s">
        <v>215</v>
      </c>
      <c r="E72" t="s">
        <v>218</v>
      </c>
      <c r="F72" t="s">
        <v>223</v>
      </c>
      <c r="G72" t="s">
        <v>228</v>
      </c>
      <c r="H72" t="s">
        <v>231</v>
      </c>
      <c r="I72" t="s">
        <v>235</v>
      </c>
    </row>
    <row r="73" spans="1:9" x14ac:dyDescent="0.25">
      <c r="A73" t="s">
        <v>80</v>
      </c>
      <c r="B73" t="s">
        <v>207</v>
      </c>
      <c r="C73" t="s">
        <v>212</v>
      </c>
      <c r="D73" t="s">
        <v>217</v>
      </c>
      <c r="E73" t="s">
        <v>219</v>
      </c>
      <c r="F73" t="s">
        <v>223</v>
      </c>
      <c r="G73" t="s">
        <v>228</v>
      </c>
      <c r="H73" t="s">
        <v>230</v>
      </c>
      <c r="I73" t="s">
        <v>234</v>
      </c>
    </row>
    <row r="74" spans="1:9" x14ac:dyDescent="0.25">
      <c r="A74" t="s">
        <v>81</v>
      </c>
      <c r="B74" t="s">
        <v>208</v>
      </c>
      <c r="C74" t="s">
        <v>211</v>
      </c>
      <c r="D74" t="s">
        <v>214</v>
      </c>
      <c r="E74" t="s">
        <v>221</v>
      </c>
      <c r="F74" t="s">
        <v>224</v>
      </c>
      <c r="G74" t="s">
        <v>227</v>
      </c>
      <c r="H74" t="s">
        <v>230</v>
      </c>
      <c r="I74" t="s">
        <v>237</v>
      </c>
    </row>
    <row r="75" spans="1:9" x14ac:dyDescent="0.25">
      <c r="A75" t="s">
        <v>82</v>
      </c>
      <c r="B75" t="s">
        <v>209</v>
      </c>
      <c r="C75" t="s">
        <v>211</v>
      </c>
      <c r="D75" t="s">
        <v>216</v>
      </c>
      <c r="E75" t="s">
        <v>220</v>
      </c>
      <c r="F75" t="s">
        <v>225</v>
      </c>
      <c r="G75" t="s">
        <v>226</v>
      </c>
      <c r="H75" t="s">
        <v>230</v>
      </c>
      <c r="I75" t="s">
        <v>235</v>
      </c>
    </row>
    <row r="76" spans="1:9" x14ac:dyDescent="0.25">
      <c r="A76" t="s">
        <v>83</v>
      </c>
      <c r="B76" t="s">
        <v>207</v>
      </c>
      <c r="C76" t="s">
        <v>212</v>
      </c>
      <c r="D76" t="s">
        <v>216</v>
      </c>
      <c r="E76" t="s">
        <v>219</v>
      </c>
      <c r="F76" t="s">
        <v>225</v>
      </c>
      <c r="G76" t="s">
        <v>228</v>
      </c>
      <c r="H76" t="s">
        <v>230</v>
      </c>
      <c r="I76" t="s">
        <v>234</v>
      </c>
    </row>
    <row r="77" spans="1:9" x14ac:dyDescent="0.25">
      <c r="A77" t="s">
        <v>84</v>
      </c>
      <c r="B77" t="s">
        <v>207</v>
      </c>
      <c r="C77" t="s">
        <v>211</v>
      </c>
      <c r="D77" t="s">
        <v>216</v>
      </c>
      <c r="E77" t="s">
        <v>218</v>
      </c>
      <c r="F77" t="s">
        <v>222</v>
      </c>
      <c r="G77" t="s">
        <v>228</v>
      </c>
      <c r="H77" t="s">
        <v>231</v>
      </c>
      <c r="I77" t="s">
        <v>234</v>
      </c>
    </row>
    <row r="78" spans="1:9" x14ac:dyDescent="0.25">
      <c r="A78" t="s">
        <v>85</v>
      </c>
      <c r="B78" t="s">
        <v>209</v>
      </c>
      <c r="C78" t="s">
        <v>211</v>
      </c>
      <c r="D78" t="s">
        <v>216</v>
      </c>
      <c r="E78" t="s">
        <v>221</v>
      </c>
      <c r="F78" t="s">
        <v>222</v>
      </c>
      <c r="G78" t="s">
        <v>226</v>
      </c>
      <c r="H78" t="s">
        <v>230</v>
      </c>
      <c r="I78" t="s">
        <v>234</v>
      </c>
    </row>
    <row r="79" spans="1:9" x14ac:dyDescent="0.25">
      <c r="A79" t="s">
        <v>86</v>
      </c>
      <c r="B79" t="s">
        <v>207</v>
      </c>
      <c r="C79" t="s">
        <v>211</v>
      </c>
      <c r="D79" t="s">
        <v>214</v>
      </c>
      <c r="E79" t="s">
        <v>221</v>
      </c>
      <c r="F79" t="s">
        <v>223</v>
      </c>
      <c r="G79" t="s">
        <v>226</v>
      </c>
      <c r="H79" t="s">
        <v>230</v>
      </c>
      <c r="I79" t="s">
        <v>237</v>
      </c>
    </row>
    <row r="80" spans="1:9" x14ac:dyDescent="0.25">
      <c r="A80" t="s">
        <v>87</v>
      </c>
      <c r="B80" t="s">
        <v>207</v>
      </c>
      <c r="C80" t="s">
        <v>211</v>
      </c>
      <c r="D80" t="s">
        <v>214</v>
      </c>
      <c r="E80" t="s">
        <v>219</v>
      </c>
      <c r="F80" t="s">
        <v>223</v>
      </c>
      <c r="G80" t="s">
        <v>226</v>
      </c>
      <c r="H80" t="s">
        <v>230</v>
      </c>
      <c r="I80" t="s">
        <v>234</v>
      </c>
    </row>
    <row r="81" spans="1:9" x14ac:dyDescent="0.25">
      <c r="A81" t="s">
        <v>88</v>
      </c>
      <c r="B81" t="s">
        <v>207</v>
      </c>
      <c r="C81" t="s">
        <v>211</v>
      </c>
      <c r="D81" t="s">
        <v>216</v>
      </c>
      <c r="E81" t="s">
        <v>219</v>
      </c>
      <c r="F81" t="s">
        <v>223</v>
      </c>
      <c r="G81" t="s">
        <v>226</v>
      </c>
      <c r="H81" t="s">
        <v>231</v>
      </c>
      <c r="I81" t="s">
        <v>234</v>
      </c>
    </row>
    <row r="82" spans="1:9" x14ac:dyDescent="0.25">
      <c r="A82" t="s">
        <v>89</v>
      </c>
      <c r="B82" t="s">
        <v>207</v>
      </c>
      <c r="C82" t="s">
        <v>213</v>
      </c>
      <c r="D82" t="s">
        <v>214</v>
      </c>
      <c r="E82" t="s">
        <v>219</v>
      </c>
      <c r="F82" t="s">
        <v>224</v>
      </c>
      <c r="G82" t="s">
        <v>228</v>
      </c>
      <c r="H82" t="s">
        <v>230</v>
      </c>
      <c r="I82" t="s">
        <v>235</v>
      </c>
    </row>
    <row r="83" spans="1:9" x14ac:dyDescent="0.25">
      <c r="A83" t="s">
        <v>90</v>
      </c>
      <c r="B83" t="s">
        <v>207</v>
      </c>
      <c r="C83" t="s">
        <v>211</v>
      </c>
      <c r="D83" t="s">
        <v>217</v>
      </c>
      <c r="E83" t="s">
        <v>221</v>
      </c>
      <c r="F83" t="s">
        <v>223</v>
      </c>
      <c r="G83" t="s">
        <v>226</v>
      </c>
      <c r="H83" t="s">
        <v>230</v>
      </c>
      <c r="I83" t="s">
        <v>234</v>
      </c>
    </row>
    <row r="84" spans="1:9" x14ac:dyDescent="0.25">
      <c r="A84" t="s">
        <v>91</v>
      </c>
      <c r="B84" t="s">
        <v>208</v>
      </c>
      <c r="C84" t="s">
        <v>211</v>
      </c>
      <c r="D84" t="s">
        <v>215</v>
      </c>
      <c r="E84" t="s">
        <v>221</v>
      </c>
      <c r="F84" t="s">
        <v>222</v>
      </c>
      <c r="G84" t="s">
        <v>226</v>
      </c>
      <c r="H84" t="s">
        <v>230</v>
      </c>
      <c r="I84" t="s">
        <v>235</v>
      </c>
    </row>
    <row r="85" spans="1:9" x14ac:dyDescent="0.25">
      <c r="A85" t="s">
        <v>92</v>
      </c>
      <c r="B85" t="s">
        <v>208</v>
      </c>
      <c r="C85" t="s">
        <v>213</v>
      </c>
      <c r="D85" t="s">
        <v>214</v>
      </c>
      <c r="E85" t="s">
        <v>219</v>
      </c>
      <c r="F85" t="s">
        <v>223</v>
      </c>
      <c r="G85" t="s">
        <v>226</v>
      </c>
      <c r="H85" t="s">
        <v>230</v>
      </c>
      <c r="I85" t="s">
        <v>235</v>
      </c>
    </row>
    <row r="86" spans="1:9" x14ac:dyDescent="0.25">
      <c r="A86" t="s">
        <v>93</v>
      </c>
      <c r="B86" t="s">
        <v>207</v>
      </c>
      <c r="C86" t="s">
        <v>211</v>
      </c>
      <c r="D86" t="s">
        <v>217</v>
      </c>
      <c r="E86" t="s">
        <v>218</v>
      </c>
      <c r="F86" t="s">
        <v>224</v>
      </c>
      <c r="G86" t="s">
        <v>228</v>
      </c>
      <c r="H86" t="s">
        <v>230</v>
      </c>
      <c r="I86" t="s">
        <v>234</v>
      </c>
    </row>
    <row r="87" spans="1:9" x14ac:dyDescent="0.25">
      <c r="A87" t="s">
        <v>94</v>
      </c>
      <c r="B87" t="s">
        <v>207</v>
      </c>
      <c r="C87" t="s">
        <v>211</v>
      </c>
      <c r="D87" t="s">
        <v>216</v>
      </c>
      <c r="E87" t="s">
        <v>220</v>
      </c>
      <c r="F87" t="s">
        <v>223</v>
      </c>
      <c r="G87" t="s">
        <v>227</v>
      </c>
      <c r="H87" t="s">
        <v>232</v>
      </c>
      <c r="I87" t="s">
        <v>234</v>
      </c>
    </row>
    <row r="88" spans="1:9" x14ac:dyDescent="0.25">
      <c r="A88" t="s">
        <v>95</v>
      </c>
      <c r="B88" t="s">
        <v>210</v>
      </c>
      <c r="C88" t="s">
        <v>213</v>
      </c>
      <c r="D88" t="s">
        <v>214</v>
      </c>
      <c r="E88" t="s">
        <v>219</v>
      </c>
      <c r="F88" t="s">
        <v>222</v>
      </c>
      <c r="G88" t="s">
        <v>228</v>
      </c>
      <c r="H88" t="s">
        <v>230</v>
      </c>
      <c r="I88" t="s">
        <v>234</v>
      </c>
    </row>
    <row r="89" spans="1:9" x14ac:dyDescent="0.25">
      <c r="A89" t="s">
        <v>96</v>
      </c>
      <c r="B89" t="s">
        <v>207</v>
      </c>
      <c r="C89" t="s">
        <v>213</v>
      </c>
      <c r="D89" t="s">
        <v>214</v>
      </c>
      <c r="E89" t="s">
        <v>219</v>
      </c>
      <c r="F89" t="s">
        <v>225</v>
      </c>
      <c r="G89" t="s">
        <v>226</v>
      </c>
      <c r="H89" t="s">
        <v>230</v>
      </c>
      <c r="I89" t="s">
        <v>234</v>
      </c>
    </row>
    <row r="90" spans="1:9" x14ac:dyDescent="0.25">
      <c r="A90" t="s">
        <v>97</v>
      </c>
      <c r="B90" t="s">
        <v>207</v>
      </c>
      <c r="C90" t="s">
        <v>213</v>
      </c>
      <c r="D90" t="s">
        <v>216</v>
      </c>
      <c r="E90" t="s">
        <v>221</v>
      </c>
      <c r="F90" t="s">
        <v>224</v>
      </c>
      <c r="G90" t="s">
        <v>227</v>
      </c>
      <c r="H90" t="s">
        <v>230</v>
      </c>
      <c r="I90" t="s">
        <v>234</v>
      </c>
    </row>
    <row r="91" spans="1:9" x14ac:dyDescent="0.25">
      <c r="A91" t="s">
        <v>98</v>
      </c>
      <c r="B91" t="s">
        <v>209</v>
      </c>
      <c r="C91" t="s">
        <v>211</v>
      </c>
      <c r="D91" t="s">
        <v>217</v>
      </c>
      <c r="E91" t="s">
        <v>220</v>
      </c>
      <c r="F91" t="s">
        <v>225</v>
      </c>
      <c r="G91" t="s">
        <v>228</v>
      </c>
      <c r="H91" t="s">
        <v>230</v>
      </c>
      <c r="I91" t="s">
        <v>234</v>
      </c>
    </row>
    <row r="92" spans="1:9" x14ac:dyDescent="0.25">
      <c r="A92" t="s">
        <v>99</v>
      </c>
      <c r="B92" t="s">
        <v>207</v>
      </c>
      <c r="C92" t="s">
        <v>213</v>
      </c>
      <c r="D92" t="s">
        <v>214</v>
      </c>
      <c r="E92" t="s">
        <v>218</v>
      </c>
      <c r="F92" t="s">
        <v>223</v>
      </c>
      <c r="G92" t="s">
        <v>227</v>
      </c>
      <c r="H92" t="s">
        <v>230</v>
      </c>
      <c r="I92" t="s">
        <v>234</v>
      </c>
    </row>
    <row r="93" spans="1:9" x14ac:dyDescent="0.25">
      <c r="A93" t="s">
        <v>100</v>
      </c>
      <c r="B93" t="s">
        <v>209</v>
      </c>
      <c r="C93" t="s">
        <v>213</v>
      </c>
      <c r="D93" t="s">
        <v>216</v>
      </c>
      <c r="E93" t="s">
        <v>220</v>
      </c>
      <c r="F93" t="s">
        <v>223</v>
      </c>
      <c r="G93" t="s">
        <v>227</v>
      </c>
      <c r="H93" t="s">
        <v>231</v>
      </c>
      <c r="I93" t="s">
        <v>237</v>
      </c>
    </row>
    <row r="94" spans="1:9" x14ac:dyDescent="0.25">
      <c r="A94" t="s">
        <v>101</v>
      </c>
      <c r="B94" t="s">
        <v>207</v>
      </c>
      <c r="C94" t="s">
        <v>213</v>
      </c>
      <c r="D94" t="s">
        <v>216</v>
      </c>
      <c r="E94" t="s">
        <v>219</v>
      </c>
      <c r="F94" t="s">
        <v>222</v>
      </c>
      <c r="G94" t="s">
        <v>226</v>
      </c>
      <c r="H94" t="s">
        <v>230</v>
      </c>
      <c r="I94" t="s">
        <v>234</v>
      </c>
    </row>
    <row r="95" spans="1:9" x14ac:dyDescent="0.25">
      <c r="A95" t="s">
        <v>102</v>
      </c>
      <c r="B95" t="s">
        <v>208</v>
      </c>
      <c r="C95" t="s">
        <v>211</v>
      </c>
      <c r="D95" t="s">
        <v>217</v>
      </c>
      <c r="E95" t="s">
        <v>219</v>
      </c>
      <c r="F95" t="s">
        <v>225</v>
      </c>
      <c r="G95" t="s">
        <v>227</v>
      </c>
      <c r="H95" t="s">
        <v>230</v>
      </c>
      <c r="I95" t="s">
        <v>235</v>
      </c>
    </row>
    <row r="96" spans="1:9" x14ac:dyDescent="0.25">
      <c r="A96" t="s">
        <v>103</v>
      </c>
      <c r="B96" t="s">
        <v>210</v>
      </c>
      <c r="C96" t="s">
        <v>213</v>
      </c>
      <c r="D96" t="s">
        <v>216</v>
      </c>
      <c r="E96" t="s">
        <v>219</v>
      </c>
      <c r="F96" t="s">
        <v>224</v>
      </c>
      <c r="G96" t="s">
        <v>226</v>
      </c>
      <c r="H96" t="s">
        <v>230</v>
      </c>
      <c r="I96" t="s">
        <v>234</v>
      </c>
    </row>
    <row r="97" spans="1:9" x14ac:dyDescent="0.25">
      <c r="A97" t="s">
        <v>104</v>
      </c>
      <c r="B97" t="s">
        <v>207</v>
      </c>
      <c r="C97" t="s">
        <v>212</v>
      </c>
      <c r="D97" t="s">
        <v>214</v>
      </c>
      <c r="E97" t="s">
        <v>219</v>
      </c>
      <c r="F97" t="s">
        <v>223</v>
      </c>
      <c r="G97" t="s">
        <v>226</v>
      </c>
      <c r="H97" t="s">
        <v>230</v>
      </c>
      <c r="I97" t="s">
        <v>234</v>
      </c>
    </row>
    <row r="98" spans="1:9" x14ac:dyDescent="0.25">
      <c r="A98" t="s">
        <v>105</v>
      </c>
      <c r="B98" t="s">
        <v>208</v>
      </c>
      <c r="C98" t="s">
        <v>211</v>
      </c>
      <c r="D98" t="s">
        <v>214</v>
      </c>
      <c r="E98" t="s">
        <v>219</v>
      </c>
      <c r="F98" t="s">
        <v>222</v>
      </c>
      <c r="G98" t="s">
        <v>226</v>
      </c>
      <c r="H98" t="s">
        <v>230</v>
      </c>
      <c r="I98" t="s">
        <v>235</v>
      </c>
    </row>
    <row r="99" spans="1:9" x14ac:dyDescent="0.25">
      <c r="A99" t="s">
        <v>106</v>
      </c>
      <c r="B99" t="s">
        <v>209</v>
      </c>
      <c r="C99" t="s">
        <v>212</v>
      </c>
      <c r="D99" t="s">
        <v>215</v>
      </c>
      <c r="E99" t="s">
        <v>219</v>
      </c>
      <c r="F99" t="s">
        <v>225</v>
      </c>
      <c r="G99" t="s">
        <v>228</v>
      </c>
      <c r="H99" t="s">
        <v>230</v>
      </c>
      <c r="I99" t="s">
        <v>234</v>
      </c>
    </row>
    <row r="100" spans="1:9" x14ac:dyDescent="0.25">
      <c r="A100" t="s">
        <v>107</v>
      </c>
      <c r="B100" t="s">
        <v>208</v>
      </c>
      <c r="C100" t="s">
        <v>213</v>
      </c>
      <c r="D100" t="s">
        <v>214</v>
      </c>
      <c r="E100" t="s">
        <v>219</v>
      </c>
      <c r="F100" t="s">
        <v>222</v>
      </c>
      <c r="G100" t="s">
        <v>226</v>
      </c>
      <c r="H100" t="s">
        <v>231</v>
      </c>
      <c r="I100" t="s">
        <v>235</v>
      </c>
    </row>
    <row r="101" spans="1:9" x14ac:dyDescent="0.25">
      <c r="A101" t="s">
        <v>108</v>
      </c>
      <c r="B101" t="s">
        <v>208</v>
      </c>
      <c r="C101" t="s">
        <v>211</v>
      </c>
      <c r="D101" t="s">
        <v>216</v>
      </c>
      <c r="E101" t="s">
        <v>218</v>
      </c>
      <c r="F101" t="s">
        <v>222</v>
      </c>
      <c r="G101" t="s">
        <v>227</v>
      </c>
      <c r="H101" t="s">
        <v>231</v>
      </c>
      <c r="I101" t="s">
        <v>237</v>
      </c>
    </row>
    <row r="102" spans="1:9" x14ac:dyDescent="0.25">
      <c r="A102" t="s">
        <v>109</v>
      </c>
      <c r="B102" t="s">
        <v>210</v>
      </c>
      <c r="C102" t="s">
        <v>213</v>
      </c>
      <c r="D102" t="s">
        <v>214</v>
      </c>
      <c r="E102" t="s">
        <v>219</v>
      </c>
      <c r="F102" t="s">
        <v>222</v>
      </c>
      <c r="G102" t="s">
        <v>228</v>
      </c>
      <c r="H102" t="s">
        <v>230</v>
      </c>
      <c r="I102" t="s">
        <v>234</v>
      </c>
    </row>
    <row r="103" spans="1:9" x14ac:dyDescent="0.25">
      <c r="A103" t="s">
        <v>110</v>
      </c>
      <c r="B103" t="s">
        <v>207</v>
      </c>
      <c r="C103" t="s">
        <v>211</v>
      </c>
      <c r="D103" t="s">
        <v>214</v>
      </c>
      <c r="E103" t="s">
        <v>221</v>
      </c>
      <c r="F103" t="s">
        <v>223</v>
      </c>
      <c r="G103" t="s">
        <v>226</v>
      </c>
      <c r="H103" t="s">
        <v>231</v>
      </c>
      <c r="I103" t="s">
        <v>234</v>
      </c>
    </row>
    <row r="104" spans="1:9" x14ac:dyDescent="0.25">
      <c r="A104" t="s">
        <v>111</v>
      </c>
      <c r="B104" t="s">
        <v>207</v>
      </c>
      <c r="C104" t="s">
        <v>211</v>
      </c>
      <c r="D104" t="s">
        <v>217</v>
      </c>
      <c r="E104" t="s">
        <v>220</v>
      </c>
      <c r="F104" t="s">
        <v>224</v>
      </c>
      <c r="G104" t="s">
        <v>228</v>
      </c>
      <c r="H104" t="s">
        <v>230</v>
      </c>
      <c r="I104" t="s">
        <v>234</v>
      </c>
    </row>
    <row r="105" spans="1:9" x14ac:dyDescent="0.25">
      <c r="A105" t="s">
        <v>112</v>
      </c>
      <c r="B105" t="s">
        <v>210</v>
      </c>
      <c r="C105" t="s">
        <v>212</v>
      </c>
      <c r="D105" t="s">
        <v>214</v>
      </c>
      <c r="E105" t="s">
        <v>219</v>
      </c>
      <c r="F105" t="s">
        <v>222</v>
      </c>
      <c r="G105" t="s">
        <v>228</v>
      </c>
      <c r="H105" t="s">
        <v>230</v>
      </c>
      <c r="I105" t="s">
        <v>234</v>
      </c>
    </row>
    <row r="106" spans="1:9" x14ac:dyDescent="0.25">
      <c r="A106" t="s">
        <v>113</v>
      </c>
      <c r="B106" t="s">
        <v>207</v>
      </c>
      <c r="C106" t="s">
        <v>211</v>
      </c>
      <c r="D106" t="s">
        <v>216</v>
      </c>
      <c r="E106" t="s">
        <v>218</v>
      </c>
      <c r="F106" t="s">
        <v>222</v>
      </c>
      <c r="G106" t="s">
        <v>226</v>
      </c>
      <c r="H106" t="s">
        <v>230</v>
      </c>
      <c r="I106" t="s">
        <v>234</v>
      </c>
    </row>
    <row r="107" spans="1:9" x14ac:dyDescent="0.25">
      <c r="A107" t="s">
        <v>114</v>
      </c>
      <c r="B107" t="s">
        <v>210</v>
      </c>
      <c r="C107" t="s">
        <v>211</v>
      </c>
      <c r="D107" t="s">
        <v>215</v>
      </c>
      <c r="E107" t="s">
        <v>221</v>
      </c>
      <c r="F107" t="s">
        <v>222</v>
      </c>
      <c r="G107" t="s">
        <v>226</v>
      </c>
      <c r="H107" t="s">
        <v>230</v>
      </c>
      <c r="I107" t="s">
        <v>235</v>
      </c>
    </row>
    <row r="108" spans="1:9" x14ac:dyDescent="0.25">
      <c r="A108" t="s">
        <v>115</v>
      </c>
      <c r="B108" t="s">
        <v>207</v>
      </c>
      <c r="C108" t="s">
        <v>213</v>
      </c>
      <c r="D108" t="s">
        <v>217</v>
      </c>
      <c r="E108" t="s">
        <v>219</v>
      </c>
      <c r="F108" t="s">
        <v>222</v>
      </c>
      <c r="G108" t="s">
        <v>226</v>
      </c>
      <c r="H108" t="s">
        <v>230</v>
      </c>
      <c r="I108" t="s">
        <v>234</v>
      </c>
    </row>
    <row r="109" spans="1:9" x14ac:dyDescent="0.25">
      <c r="A109" t="s">
        <v>116</v>
      </c>
      <c r="B109" t="s">
        <v>209</v>
      </c>
      <c r="C109" t="s">
        <v>211</v>
      </c>
      <c r="D109" t="s">
        <v>214</v>
      </c>
      <c r="E109" t="s">
        <v>219</v>
      </c>
      <c r="F109" t="s">
        <v>222</v>
      </c>
      <c r="G109" t="s">
        <v>227</v>
      </c>
      <c r="H109" t="s">
        <v>230</v>
      </c>
      <c r="I109" t="s">
        <v>234</v>
      </c>
    </row>
    <row r="110" spans="1:9" x14ac:dyDescent="0.25">
      <c r="A110" t="s">
        <v>117</v>
      </c>
      <c r="B110" t="s">
        <v>209</v>
      </c>
      <c r="C110" t="s">
        <v>211</v>
      </c>
      <c r="D110" t="s">
        <v>216</v>
      </c>
      <c r="E110" t="s">
        <v>219</v>
      </c>
      <c r="F110" t="s">
        <v>222</v>
      </c>
      <c r="G110" t="s">
        <v>226</v>
      </c>
      <c r="H110" t="s">
        <v>230</v>
      </c>
      <c r="I110" t="s">
        <v>235</v>
      </c>
    </row>
    <row r="111" spans="1:9" x14ac:dyDescent="0.25">
      <c r="A111" t="s">
        <v>118</v>
      </c>
      <c r="B111" t="s">
        <v>207</v>
      </c>
      <c r="C111" t="s">
        <v>211</v>
      </c>
      <c r="D111" t="s">
        <v>214</v>
      </c>
      <c r="E111" t="s">
        <v>220</v>
      </c>
      <c r="F111" t="s">
        <v>223</v>
      </c>
      <c r="G111" t="s">
        <v>228</v>
      </c>
      <c r="H111" t="s">
        <v>230</v>
      </c>
      <c r="I111" t="s">
        <v>234</v>
      </c>
    </row>
    <row r="112" spans="1:9" x14ac:dyDescent="0.25">
      <c r="A112" t="s">
        <v>119</v>
      </c>
      <c r="B112" t="s">
        <v>208</v>
      </c>
      <c r="C112" t="s">
        <v>211</v>
      </c>
      <c r="D112" t="s">
        <v>214</v>
      </c>
      <c r="E112" t="s">
        <v>219</v>
      </c>
      <c r="F112" t="s">
        <v>222</v>
      </c>
      <c r="G112" t="s">
        <v>227</v>
      </c>
      <c r="H112" t="s">
        <v>230</v>
      </c>
      <c r="I112" t="s">
        <v>235</v>
      </c>
    </row>
    <row r="113" spans="1:9" x14ac:dyDescent="0.25">
      <c r="A113" t="s">
        <v>120</v>
      </c>
      <c r="B113" t="s">
        <v>207</v>
      </c>
      <c r="C113" t="s">
        <v>211</v>
      </c>
      <c r="D113" t="s">
        <v>214</v>
      </c>
      <c r="E113" t="s">
        <v>220</v>
      </c>
      <c r="F113" t="s">
        <v>225</v>
      </c>
      <c r="G113" t="s">
        <v>227</v>
      </c>
      <c r="H113" t="s">
        <v>230</v>
      </c>
      <c r="I113" t="s">
        <v>234</v>
      </c>
    </row>
    <row r="114" spans="1:9" x14ac:dyDescent="0.25">
      <c r="A114" t="s">
        <v>121</v>
      </c>
      <c r="B114" t="s">
        <v>207</v>
      </c>
      <c r="C114" t="s">
        <v>211</v>
      </c>
      <c r="D114" t="s">
        <v>216</v>
      </c>
      <c r="E114" t="s">
        <v>221</v>
      </c>
      <c r="F114" t="s">
        <v>222</v>
      </c>
      <c r="G114" t="s">
        <v>227</v>
      </c>
      <c r="H114" t="s">
        <v>230</v>
      </c>
      <c r="I114" t="s">
        <v>237</v>
      </c>
    </row>
    <row r="115" spans="1:9" x14ac:dyDescent="0.25">
      <c r="A115" t="s">
        <v>122</v>
      </c>
      <c r="B115" t="s">
        <v>209</v>
      </c>
      <c r="C115" t="s">
        <v>213</v>
      </c>
      <c r="D115" t="s">
        <v>216</v>
      </c>
      <c r="E115" t="s">
        <v>218</v>
      </c>
      <c r="F115" t="s">
        <v>223</v>
      </c>
      <c r="G115" t="s">
        <v>227</v>
      </c>
      <c r="H115" t="s">
        <v>230</v>
      </c>
      <c r="I115" t="s">
        <v>234</v>
      </c>
    </row>
    <row r="116" spans="1:9" x14ac:dyDescent="0.25">
      <c r="A116" t="s">
        <v>123</v>
      </c>
      <c r="B116" t="s">
        <v>207</v>
      </c>
      <c r="C116" t="s">
        <v>213</v>
      </c>
      <c r="D116" t="s">
        <v>214</v>
      </c>
      <c r="E116" t="s">
        <v>221</v>
      </c>
      <c r="F116" t="s">
        <v>225</v>
      </c>
      <c r="G116" t="s">
        <v>227</v>
      </c>
      <c r="H116" t="s">
        <v>230</v>
      </c>
      <c r="I116" t="s">
        <v>234</v>
      </c>
    </row>
    <row r="117" spans="1:9" x14ac:dyDescent="0.25">
      <c r="A117" t="s">
        <v>124</v>
      </c>
      <c r="B117" t="s">
        <v>207</v>
      </c>
      <c r="C117" t="s">
        <v>213</v>
      </c>
      <c r="D117" t="s">
        <v>217</v>
      </c>
      <c r="E117" t="s">
        <v>219</v>
      </c>
      <c r="F117" t="s">
        <v>223</v>
      </c>
      <c r="G117" t="s">
        <v>226</v>
      </c>
      <c r="H117" t="s">
        <v>230</v>
      </c>
      <c r="I117" t="s">
        <v>235</v>
      </c>
    </row>
    <row r="118" spans="1:9" x14ac:dyDescent="0.25">
      <c r="A118" t="s">
        <v>125</v>
      </c>
      <c r="B118" t="s">
        <v>208</v>
      </c>
      <c r="C118" t="s">
        <v>211</v>
      </c>
      <c r="D118" t="s">
        <v>214</v>
      </c>
      <c r="E118" t="s">
        <v>220</v>
      </c>
      <c r="F118" t="s">
        <v>224</v>
      </c>
      <c r="G118" t="s">
        <v>228</v>
      </c>
      <c r="H118" t="s">
        <v>230</v>
      </c>
      <c r="I118" t="s">
        <v>234</v>
      </c>
    </row>
    <row r="119" spans="1:9" x14ac:dyDescent="0.25">
      <c r="A119" t="s">
        <v>126</v>
      </c>
      <c r="B119" t="s">
        <v>207</v>
      </c>
      <c r="C119" t="s">
        <v>211</v>
      </c>
      <c r="D119" t="s">
        <v>214</v>
      </c>
      <c r="E119" t="s">
        <v>219</v>
      </c>
      <c r="F119" t="s">
        <v>225</v>
      </c>
      <c r="G119" t="s">
        <v>226</v>
      </c>
      <c r="H119" t="s">
        <v>230</v>
      </c>
      <c r="I119" t="s">
        <v>234</v>
      </c>
    </row>
    <row r="120" spans="1:9" x14ac:dyDescent="0.25">
      <c r="A120" t="s">
        <v>127</v>
      </c>
      <c r="B120" t="s">
        <v>207</v>
      </c>
      <c r="C120" t="s">
        <v>211</v>
      </c>
      <c r="D120" t="s">
        <v>216</v>
      </c>
      <c r="E120" t="s">
        <v>220</v>
      </c>
      <c r="F120" t="s">
        <v>224</v>
      </c>
      <c r="G120" t="s">
        <v>226</v>
      </c>
      <c r="H120" t="s">
        <v>230</v>
      </c>
      <c r="I120" t="s">
        <v>234</v>
      </c>
    </row>
    <row r="121" spans="1:9" x14ac:dyDescent="0.25">
      <c r="A121" t="s">
        <v>128</v>
      </c>
      <c r="B121" t="s">
        <v>208</v>
      </c>
      <c r="C121" t="s">
        <v>211</v>
      </c>
      <c r="D121" t="s">
        <v>214</v>
      </c>
      <c r="E121" t="s">
        <v>220</v>
      </c>
      <c r="F121" t="s">
        <v>222</v>
      </c>
      <c r="G121" t="s">
        <v>226</v>
      </c>
      <c r="H121" t="s">
        <v>230</v>
      </c>
      <c r="I121" t="s">
        <v>234</v>
      </c>
    </row>
    <row r="122" spans="1:9" x14ac:dyDescent="0.25">
      <c r="A122" t="s">
        <v>129</v>
      </c>
      <c r="B122" t="s">
        <v>207</v>
      </c>
      <c r="C122" t="s">
        <v>211</v>
      </c>
      <c r="D122" t="s">
        <v>214</v>
      </c>
      <c r="E122" t="s">
        <v>221</v>
      </c>
      <c r="F122" t="s">
        <v>224</v>
      </c>
      <c r="G122" t="s">
        <v>226</v>
      </c>
      <c r="H122" t="s">
        <v>230</v>
      </c>
      <c r="I122" t="s">
        <v>235</v>
      </c>
    </row>
    <row r="123" spans="1:9" x14ac:dyDescent="0.25">
      <c r="A123" t="s">
        <v>130</v>
      </c>
      <c r="B123" t="s">
        <v>209</v>
      </c>
      <c r="C123" t="s">
        <v>211</v>
      </c>
      <c r="D123" t="s">
        <v>214</v>
      </c>
      <c r="E123" t="s">
        <v>219</v>
      </c>
      <c r="F123" t="s">
        <v>222</v>
      </c>
      <c r="G123" t="s">
        <v>226</v>
      </c>
      <c r="H123" t="s">
        <v>230</v>
      </c>
      <c r="I123" t="s">
        <v>235</v>
      </c>
    </row>
    <row r="124" spans="1:9" x14ac:dyDescent="0.25">
      <c r="A124" t="s">
        <v>131</v>
      </c>
      <c r="B124" t="s">
        <v>207</v>
      </c>
      <c r="C124" t="s">
        <v>213</v>
      </c>
      <c r="D124" t="s">
        <v>217</v>
      </c>
      <c r="E124" t="s">
        <v>219</v>
      </c>
      <c r="F124" t="s">
        <v>224</v>
      </c>
      <c r="G124" t="s">
        <v>227</v>
      </c>
      <c r="H124" t="s">
        <v>230</v>
      </c>
      <c r="I124" t="s">
        <v>234</v>
      </c>
    </row>
    <row r="125" spans="1:9" x14ac:dyDescent="0.25">
      <c r="A125" t="s">
        <v>132</v>
      </c>
      <c r="B125" t="s">
        <v>207</v>
      </c>
      <c r="C125" t="s">
        <v>213</v>
      </c>
      <c r="D125" t="s">
        <v>214</v>
      </c>
      <c r="E125" t="s">
        <v>219</v>
      </c>
      <c r="F125" t="s">
        <v>225</v>
      </c>
      <c r="G125" t="s">
        <v>226</v>
      </c>
      <c r="H125" t="s">
        <v>230</v>
      </c>
      <c r="I125" t="s">
        <v>235</v>
      </c>
    </row>
    <row r="126" spans="1:9" x14ac:dyDescent="0.25">
      <c r="A126" t="s">
        <v>133</v>
      </c>
      <c r="B126" t="s">
        <v>208</v>
      </c>
      <c r="C126" t="s">
        <v>212</v>
      </c>
      <c r="D126" t="s">
        <v>216</v>
      </c>
      <c r="E126" t="s">
        <v>219</v>
      </c>
      <c r="F126" t="s">
        <v>225</v>
      </c>
      <c r="G126" t="s">
        <v>226</v>
      </c>
      <c r="H126" t="s">
        <v>230</v>
      </c>
      <c r="I126" t="s">
        <v>234</v>
      </c>
    </row>
    <row r="127" spans="1:9" x14ac:dyDescent="0.25">
      <c r="A127" t="s">
        <v>134</v>
      </c>
      <c r="B127" t="s">
        <v>207</v>
      </c>
      <c r="C127" t="s">
        <v>211</v>
      </c>
      <c r="D127" t="s">
        <v>216</v>
      </c>
      <c r="E127" t="s">
        <v>219</v>
      </c>
      <c r="F127" t="s">
        <v>224</v>
      </c>
      <c r="G127" t="s">
        <v>226</v>
      </c>
      <c r="H127" t="s">
        <v>230</v>
      </c>
      <c r="I127" t="s">
        <v>234</v>
      </c>
    </row>
    <row r="128" spans="1:9" x14ac:dyDescent="0.25">
      <c r="A128" t="s">
        <v>135</v>
      </c>
      <c r="B128" t="s">
        <v>209</v>
      </c>
      <c r="C128" t="s">
        <v>212</v>
      </c>
      <c r="D128" t="s">
        <v>217</v>
      </c>
      <c r="E128" t="s">
        <v>218</v>
      </c>
      <c r="F128" t="s">
        <v>224</v>
      </c>
      <c r="G128" t="s">
        <v>228</v>
      </c>
      <c r="H128" t="s">
        <v>230</v>
      </c>
      <c r="I128" t="s">
        <v>234</v>
      </c>
    </row>
    <row r="129" spans="1:9" x14ac:dyDescent="0.25">
      <c r="A129" t="s">
        <v>136</v>
      </c>
      <c r="B129" t="s">
        <v>207</v>
      </c>
      <c r="C129" t="s">
        <v>211</v>
      </c>
      <c r="D129" t="s">
        <v>217</v>
      </c>
      <c r="E129" t="s">
        <v>218</v>
      </c>
      <c r="F129" t="s">
        <v>223</v>
      </c>
      <c r="G129" t="s">
        <v>226</v>
      </c>
      <c r="H129" t="s">
        <v>230</v>
      </c>
      <c r="I129" t="s">
        <v>234</v>
      </c>
    </row>
    <row r="130" spans="1:9" x14ac:dyDescent="0.25">
      <c r="A130" t="s">
        <v>137</v>
      </c>
      <c r="B130" t="s">
        <v>207</v>
      </c>
      <c r="C130" t="s">
        <v>212</v>
      </c>
      <c r="D130" t="s">
        <v>216</v>
      </c>
      <c r="E130" t="s">
        <v>218</v>
      </c>
      <c r="F130" t="s">
        <v>222</v>
      </c>
      <c r="G130" t="s">
        <v>228</v>
      </c>
      <c r="H130" t="s">
        <v>230</v>
      </c>
      <c r="I130" t="s">
        <v>234</v>
      </c>
    </row>
    <row r="131" spans="1:9" x14ac:dyDescent="0.25">
      <c r="A131" t="s">
        <v>138</v>
      </c>
      <c r="B131" t="s">
        <v>208</v>
      </c>
      <c r="C131" t="s">
        <v>211</v>
      </c>
      <c r="D131" t="s">
        <v>216</v>
      </c>
      <c r="E131" t="s">
        <v>219</v>
      </c>
      <c r="F131" t="s">
        <v>224</v>
      </c>
      <c r="G131" t="s">
        <v>228</v>
      </c>
      <c r="H131" t="s">
        <v>230</v>
      </c>
      <c r="I131" t="s">
        <v>237</v>
      </c>
    </row>
    <row r="132" spans="1:9" x14ac:dyDescent="0.25">
      <c r="A132" t="s">
        <v>139</v>
      </c>
      <c r="B132" t="s">
        <v>207</v>
      </c>
      <c r="C132" t="s">
        <v>212</v>
      </c>
      <c r="D132" t="s">
        <v>214</v>
      </c>
      <c r="E132" t="s">
        <v>221</v>
      </c>
      <c r="F132" t="s">
        <v>222</v>
      </c>
      <c r="G132" t="s">
        <v>226</v>
      </c>
      <c r="H132" t="s">
        <v>230</v>
      </c>
      <c r="I132" t="s">
        <v>237</v>
      </c>
    </row>
    <row r="133" spans="1:9" x14ac:dyDescent="0.25">
      <c r="A133" t="s">
        <v>140</v>
      </c>
      <c r="B133" t="s">
        <v>207</v>
      </c>
      <c r="C133" t="s">
        <v>211</v>
      </c>
      <c r="D133" t="s">
        <v>214</v>
      </c>
      <c r="E133" t="s">
        <v>221</v>
      </c>
      <c r="F133" t="s">
        <v>224</v>
      </c>
      <c r="G133" t="s">
        <v>226</v>
      </c>
      <c r="H133" t="s">
        <v>230</v>
      </c>
      <c r="I133" t="s">
        <v>234</v>
      </c>
    </row>
    <row r="134" spans="1:9" x14ac:dyDescent="0.25">
      <c r="A134" t="s">
        <v>141</v>
      </c>
      <c r="B134" t="s">
        <v>209</v>
      </c>
      <c r="C134" t="s">
        <v>213</v>
      </c>
      <c r="D134" t="s">
        <v>216</v>
      </c>
      <c r="E134" t="s">
        <v>220</v>
      </c>
      <c r="F134" t="s">
        <v>223</v>
      </c>
      <c r="G134" t="s">
        <v>228</v>
      </c>
      <c r="H134" t="s">
        <v>231</v>
      </c>
      <c r="I134" t="s">
        <v>234</v>
      </c>
    </row>
    <row r="135" spans="1:9" x14ac:dyDescent="0.25">
      <c r="A135" t="s">
        <v>142</v>
      </c>
      <c r="B135" t="s">
        <v>209</v>
      </c>
      <c r="C135" t="s">
        <v>211</v>
      </c>
      <c r="D135" t="s">
        <v>217</v>
      </c>
      <c r="E135" t="s">
        <v>220</v>
      </c>
      <c r="F135" t="s">
        <v>222</v>
      </c>
      <c r="G135" t="s">
        <v>227</v>
      </c>
      <c r="H135" t="s">
        <v>231</v>
      </c>
      <c r="I135" t="s">
        <v>234</v>
      </c>
    </row>
    <row r="136" spans="1:9" x14ac:dyDescent="0.25">
      <c r="A136" t="s">
        <v>143</v>
      </c>
      <c r="B136" t="s">
        <v>208</v>
      </c>
      <c r="C136" t="s">
        <v>211</v>
      </c>
      <c r="D136" t="s">
        <v>216</v>
      </c>
      <c r="E136" t="s">
        <v>219</v>
      </c>
      <c r="F136" t="s">
        <v>224</v>
      </c>
      <c r="G136" t="s">
        <v>226</v>
      </c>
      <c r="H136" t="s">
        <v>230</v>
      </c>
      <c r="I136" t="s">
        <v>235</v>
      </c>
    </row>
    <row r="137" spans="1:9" x14ac:dyDescent="0.25">
      <c r="A137" t="s">
        <v>144</v>
      </c>
      <c r="B137" t="s">
        <v>210</v>
      </c>
      <c r="C137" t="s">
        <v>211</v>
      </c>
      <c r="D137" t="s">
        <v>214</v>
      </c>
      <c r="E137" t="s">
        <v>220</v>
      </c>
      <c r="F137" t="s">
        <v>223</v>
      </c>
      <c r="G137" t="s">
        <v>227</v>
      </c>
      <c r="H137" t="s">
        <v>230</v>
      </c>
      <c r="I137" t="s">
        <v>235</v>
      </c>
    </row>
    <row r="138" spans="1:9" x14ac:dyDescent="0.25">
      <c r="A138" t="s">
        <v>145</v>
      </c>
      <c r="B138" t="s">
        <v>207</v>
      </c>
      <c r="C138" t="s">
        <v>211</v>
      </c>
      <c r="D138" t="s">
        <v>214</v>
      </c>
      <c r="E138" t="s">
        <v>220</v>
      </c>
      <c r="F138" t="s">
        <v>225</v>
      </c>
      <c r="G138" t="s">
        <v>226</v>
      </c>
      <c r="H138" t="s">
        <v>230</v>
      </c>
      <c r="I138" t="s">
        <v>234</v>
      </c>
    </row>
    <row r="139" spans="1:9" x14ac:dyDescent="0.25">
      <c r="A139" t="s">
        <v>146</v>
      </c>
      <c r="B139" t="s">
        <v>207</v>
      </c>
      <c r="C139" t="s">
        <v>212</v>
      </c>
      <c r="D139" t="s">
        <v>214</v>
      </c>
      <c r="E139" t="s">
        <v>219</v>
      </c>
      <c r="F139" t="s">
        <v>222</v>
      </c>
      <c r="G139" t="s">
        <v>227</v>
      </c>
      <c r="H139" t="s">
        <v>230</v>
      </c>
      <c r="I139" t="s">
        <v>235</v>
      </c>
    </row>
    <row r="140" spans="1:9" x14ac:dyDescent="0.25">
      <c r="A140" t="s">
        <v>147</v>
      </c>
      <c r="B140" t="s">
        <v>207</v>
      </c>
      <c r="C140" t="s">
        <v>211</v>
      </c>
      <c r="D140" t="s">
        <v>217</v>
      </c>
      <c r="E140" t="s">
        <v>220</v>
      </c>
      <c r="F140" t="s">
        <v>222</v>
      </c>
      <c r="G140" t="s">
        <v>228</v>
      </c>
      <c r="H140" t="s">
        <v>230</v>
      </c>
      <c r="I140" t="s">
        <v>234</v>
      </c>
    </row>
    <row r="141" spans="1:9" x14ac:dyDescent="0.25">
      <c r="A141" t="s">
        <v>148</v>
      </c>
      <c r="B141" t="s">
        <v>209</v>
      </c>
      <c r="C141" t="s">
        <v>211</v>
      </c>
      <c r="D141" t="s">
        <v>217</v>
      </c>
      <c r="E141" t="s">
        <v>220</v>
      </c>
      <c r="F141" t="s">
        <v>222</v>
      </c>
      <c r="G141" t="s">
        <v>226</v>
      </c>
      <c r="H141" t="s">
        <v>230</v>
      </c>
      <c r="I141" t="s">
        <v>234</v>
      </c>
    </row>
    <row r="142" spans="1:9" x14ac:dyDescent="0.25">
      <c r="A142" t="s">
        <v>149</v>
      </c>
      <c r="B142" t="s">
        <v>208</v>
      </c>
      <c r="C142" t="s">
        <v>213</v>
      </c>
      <c r="D142" t="s">
        <v>217</v>
      </c>
      <c r="E142" t="s">
        <v>219</v>
      </c>
      <c r="F142" t="s">
        <v>224</v>
      </c>
      <c r="G142" t="s">
        <v>226</v>
      </c>
      <c r="H142" t="s">
        <v>230</v>
      </c>
      <c r="I142" t="s">
        <v>235</v>
      </c>
    </row>
    <row r="143" spans="1:9" x14ac:dyDescent="0.25">
      <c r="A143" t="s">
        <v>150</v>
      </c>
      <c r="B143" t="s">
        <v>208</v>
      </c>
      <c r="C143" t="s">
        <v>211</v>
      </c>
      <c r="D143" t="s">
        <v>217</v>
      </c>
      <c r="E143" t="s">
        <v>219</v>
      </c>
      <c r="F143" t="s">
        <v>222</v>
      </c>
      <c r="G143" t="s">
        <v>226</v>
      </c>
      <c r="H143" t="s">
        <v>230</v>
      </c>
      <c r="I143" t="s">
        <v>235</v>
      </c>
    </row>
    <row r="144" spans="1:9" x14ac:dyDescent="0.25">
      <c r="A144" t="s">
        <v>151</v>
      </c>
      <c r="B144" t="s">
        <v>207</v>
      </c>
      <c r="C144" t="s">
        <v>211</v>
      </c>
      <c r="D144" t="s">
        <v>214</v>
      </c>
      <c r="E144" t="s">
        <v>221</v>
      </c>
      <c r="F144" t="s">
        <v>222</v>
      </c>
      <c r="G144" t="s">
        <v>226</v>
      </c>
      <c r="H144" t="s">
        <v>231</v>
      </c>
      <c r="I144" t="s">
        <v>235</v>
      </c>
    </row>
    <row r="145" spans="1:9" x14ac:dyDescent="0.25">
      <c r="A145" t="s">
        <v>152</v>
      </c>
      <c r="B145" t="s">
        <v>207</v>
      </c>
      <c r="C145" t="s">
        <v>211</v>
      </c>
      <c r="D145" t="s">
        <v>216</v>
      </c>
      <c r="E145" t="s">
        <v>220</v>
      </c>
      <c r="F145" t="s">
        <v>224</v>
      </c>
      <c r="G145" t="s">
        <v>226</v>
      </c>
      <c r="H145" t="s">
        <v>230</v>
      </c>
      <c r="I145" t="s">
        <v>234</v>
      </c>
    </row>
    <row r="146" spans="1:9" x14ac:dyDescent="0.25">
      <c r="A146" t="s">
        <v>153</v>
      </c>
      <c r="B146" t="s">
        <v>207</v>
      </c>
      <c r="C146" t="s">
        <v>213</v>
      </c>
      <c r="D146" t="s">
        <v>214</v>
      </c>
      <c r="E146" t="s">
        <v>218</v>
      </c>
      <c r="F146" t="s">
        <v>222</v>
      </c>
      <c r="G146" t="s">
        <v>228</v>
      </c>
      <c r="H146" t="s">
        <v>231</v>
      </c>
      <c r="I146" t="s">
        <v>237</v>
      </c>
    </row>
    <row r="147" spans="1:9" x14ac:dyDescent="0.25">
      <c r="A147" t="s">
        <v>154</v>
      </c>
      <c r="B147" t="s">
        <v>208</v>
      </c>
      <c r="C147" t="s">
        <v>211</v>
      </c>
      <c r="D147" t="s">
        <v>215</v>
      </c>
      <c r="E147" t="s">
        <v>220</v>
      </c>
      <c r="F147" t="s">
        <v>223</v>
      </c>
      <c r="G147" t="s">
        <v>226</v>
      </c>
      <c r="H147" t="s">
        <v>230</v>
      </c>
      <c r="I147" t="s">
        <v>236</v>
      </c>
    </row>
    <row r="148" spans="1:9" x14ac:dyDescent="0.25">
      <c r="A148" t="s">
        <v>155</v>
      </c>
      <c r="B148" t="s">
        <v>207</v>
      </c>
      <c r="C148" t="s">
        <v>212</v>
      </c>
      <c r="D148" t="s">
        <v>214</v>
      </c>
      <c r="E148" t="s">
        <v>220</v>
      </c>
      <c r="F148" t="s">
        <v>223</v>
      </c>
      <c r="G148" t="s">
        <v>227</v>
      </c>
      <c r="H148" t="s">
        <v>230</v>
      </c>
      <c r="I148" t="s">
        <v>234</v>
      </c>
    </row>
    <row r="149" spans="1:9" x14ac:dyDescent="0.25">
      <c r="A149" t="s">
        <v>156</v>
      </c>
      <c r="B149" t="s">
        <v>208</v>
      </c>
      <c r="C149" t="s">
        <v>213</v>
      </c>
      <c r="D149" t="s">
        <v>214</v>
      </c>
      <c r="E149" t="s">
        <v>220</v>
      </c>
      <c r="F149" t="s">
        <v>223</v>
      </c>
      <c r="G149" t="s">
        <v>228</v>
      </c>
      <c r="H149" t="s">
        <v>230</v>
      </c>
      <c r="I149" t="s">
        <v>234</v>
      </c>
    </row>
    <row r="150" spans="1:9" x14ac:dyDescent="0.25">
      <c r="A150" t="s">
        <v>157</v>
      </c>
      <c r="B150" t="s">
        <v>207</v>
      </c>
      <c r="C150" t="s">
        <v>211</v>
      </c>
      <c r="D150" t="s">
        <v>216</v>
      </c>
      <c r="E150" t="s">
        <v>219</v>
      </c>
      <c r="F150" t="s">
        <v>223</v>
      </c>
      <c r="G150" t="s">
        <v>227</v>
      </c>
      <c r="H150" t="s">
        <v>232</v>
      </c>
      <c r="I150" t="s">
        <v>234</v>
      </c>
    </row>
    <row r="151" spans="1:9" x14ac:dyDescent="0.25">
      <c r="A151" t="s">
        <v>158</v>
      </c>
      <c r="B151" t="s">
        <v>207</v>
      </c>
      <c r="C151" t="s">
        <v>212</v>
      </c>
      <c r="D151" t="s">
        <v>217</v>
      </c>
      <c r="E151" t="s">
        <v>219</v>
      </c>
      <c r="F151" t="s">
        <v>223</v>
      </c>
      <c r="G151" t="s">
        <v>227</v>
      </c>
      <c r="H151" t="s">
        <v>230</v>
      </c>
      <c r="I151" t="s">
        <v>234</v>
      </c>
    </row>
    <row r="152" spans="1:9" x14ac:dyDescent="0.25">
      <c r="A152" t="s">
        <v>159</v>
      </c>
      <c r="B152" t="s">
        <v>208</v>
      </c>
      <c r="C152" t="s">
        <v>212</v>
      </c>
      <c r="D152" t="s">
        <v>216</v>
      </c>
      <c r="E152" t="s">
        <v>219</v>
      </c>
      <c r="F152" t="s">
        <v>225</v>
      </c>
      <c r="G152" t="s">
        <v>227</v>
      </c>
      <c r="H152" t="s">
        <v>230</v>
      </c>
      <c r="I152" t="s">
        <v>235</v>
      </c>
    </row>
    <row r="153" spans="1:9" x14ac:dyDescent="0.25">
      <c r="A153" t="s">
        <v>160</v>
      </c>
      <c r="B153" t="s">
        <v>207</v>
      </c>
      <c r="C153" t="s">
        <v>213</v>
      </c>
      <c r="D153" t="s">
        <v>214</v>
      </c>
      <c r="E153" t="s">
        <v>220</v>
      </c>
      <c r="F153" t="s">
        <v>225</v>
      </c>
      <c r="G153" t="s">
        <v>227</v>
      </c>
      <c r="H153" t="s">
        <v>232</v>
      </c>
      <c r="I153" t="s">
        <v>234</v>
      </c>
    </row>
    <row r="154" spans="1:9" x14ac:dyDescent="0.25">
      <c r="A154" t="s">
        <v>161</v>
      </c>
      <c r="B154" t="s">
        <v>207</v>
      </c>
      <c r="C154" t="s">
        <v>211</v>
      </c>
      <c r="D154" t="s">
        <v>214</v>
      </c>
      <c r="E154" t="s">
        <v>219</v>
      </c>
      <c r="F154" t="s">
        <v>222</v>
      </c>
      <c r="G154" t="s">
        <v>227</v>
      </c>
      <c r="H154" t="s">
        <v>230</v>
      </c>
      <c r="I154" t="s">
        <v>234</v>
      </c>
    </row>
    <row r="155" spans="1:9" x14ac:dyDescent="0.25">
      <c r="A155" t="s">
        <v>162</v>
      </c>
      <c r="B155" t="s">
        <v>207</v>
      </c>
      <c r="C155" t="s">
        <v>211</v>
      </c>
      <c r="D155" t="s">
        <v>215</v>
      </c>
      <c r="E155" t="s">
        <v>219</v>
      </c>
      <c r="F155" t="s">
        <v>222</v>
      </c>
      <c r="G155" t="s">
        <v>227</v>
      </c>
      <c r="H155" t="s">
        <v>230</v>
      </c>
      <c r="I155" t="s">
        <v>234</v>
      </c>
    </row>
    <row r="156" spans="1:9" x14ac:dyDescent="0.25">
      <c r="A156" t="s">
        <v>163</v>
      </c>
      <c r="B156" t="s">
        <v>208</v>
      </c>
      <c r="C156" t="s">
        <v>213</v>
      </c>
      <c r="D156" t="s">
        <v>216</v>
      </c>
      <c r="E156" t="s">
        <v>219</v>
      </c>
      <c r="F156" t="s">
        <v>223</v>
      </c>
      <c r="G156" t="s">
        <v>228</v>
      </c>
      <c r="H156" t="s">
        <v>231</v>
      </c>
      <c r="I156" t="s">
        <v>234</v>
      </c>
    </row>
    <row r="157" spans="1:9" x14ac:dyDescent="0.25">
      <c r="A157" t="s">
        <v>164</v>
      </c>
      <c r="B157" t="s">
        <v>207</v>
      </c>
      <c r="C157" t="s">
        <v>213</v>
      </c>
      <c r="D157" t="s">
        <v>217</v>
      </c>
      <c r="E157" t="s">
        <v>219</v>
      </c>
      <c r="F157" t="s">
        <v>222</v>
      </c>
      <c r="G157" t="s">
        <v>227</v>
      </c>
      <c r="H157" t="s">
        <v>230</v>
      </c>
      <c r="I157" t="s">
        <v>235</v>
      </c>
    </row>
    <row r="158" spans="1:9" x14ac:dyDescent="0.25">
      <c r="A158" t="s">
        <v>165</v>
      </c>
      <c r="B158" t="s">
        <v>210</v>
      </c>
      <c r="C158" t="s">
        <v>211</v>
      </c>
      <c r="D158" t="s">
        <v>216</v>
      </c>
      <c r="E158" t="s">
        <v>221</v>
      </c>
      <c r="F158" t="s">
        <v>222</v>
      </c>
      <c r="G158" t="s">
        <v>227</v>
      </c>
      <c r="H158" t="s">
        <v>230</v>
      </c>
      <c r="I158" t="s">
        <v>234</v>
      </c>
    </row>
    <row r="159" spans="1:9" x14ac:dyDescent="0.25">
      <c r="A159" t="s">
        <v>166</v>
      </c>
      <c r="B159" t="s">
        <v>210</v>
      </c>
      <c r="C159" t="s">
        <v>211</v>
      </c>
      <c r="D159" t="s">
        <v>214</v>
      </c>
      <c r="E159" t="s">
        <v>218</v>
      </c>
      <c r="F159" t="s">
        <v>222</v>
      </c>
      <c r="G159" t="s">
        <v>226</v>
      </c>
      <c r="H159" t="s">
        <v>230</v>
      </c>
      <c r="I159" t="s">
        <v>234</v>
      </c>
    </row>
    <row r="160" spans="1:9" x14ac:dyDescent="0.25">
      <c r="A160" t="s">
        <v>167</v>
      </c>
      <c r="B160" t="s">
        <v>207</v>
      </c>
      <c r="C160" t="s">
        <v>211</v>
      </c>
      <c r="D160" t="s">
        <v>214</v>
      </c>
      <c r="E160" t="s">
        <v>220</v>
      </c>
      <c r="F160" t="s">
        <v>225</v>
      </c>
      <c r="G160" t="s">
        <v>226</v>
      </c>
      <c r="H160" t="s">
        <v>230</v>
      </c>
      <c r="I160" t="s">
        <v>234</v>
      </c>
    </row>
    <row r="161" spans="1:9" x14ac:dyDescent="0.25">
      <c r="A161" t="s">
        <v>168</v>
      </c>
      <c r="B161" t="s">
        <v>210</v>
      </c>
      <c r="C161" t="s">
        <v>212</v>
      </c>
      <c r="D161" t="s">
        <v>214</v>
      </c>
      <c r="E161" t="s">
        <v>219</v>
      </c>
      <c r="F161" t="s">
        <v>225</v>
      </c>
      <c r="G161" t="s">
        <v>227</v>
      </c>
      <c r="H161" t="s">
        <v>230</v>
      </c>
      <c r="I161" t="s">
        <v>234</v>
      </c>
    </row>
    <row r="162" spans="1:9" x14ac:dyDescent="0.25">
      <c r="A162" t="s">
        <v>169</v>
      </c>
      <c r="B162" t="s">
        <v>208</v>
      </c>
      <c r="C162" t="s">
        <v>211</v>
      </c>
      <c r="D162" t="s">
        <v>216</v>
      </c>
      <c r="E162" t="s">
        <v>219</v>
      </c>
      <c r="F162" t="s">
        <v>222</v>
      </c>
      <c r="G162" t="s">
        <v>226</v>
      </c>
      <c r="H162" t="s">
        <v>230</v>
      </c>
      <c r="I162" t="s">
        <v>234</v>
      </c>
    </row>
    <row r="163" spans="1:9" x14ac:dyDescent="0.25">
      <c r="A163" t="s">
        <v>170</v>
      </c>
      <c r="B163" t="s">
        <v>209</v>
      </c>
      <c r="C163" t="s">
        <v>213</v>
      </c>
      <c r="D163" t="s">
        <v>214</v>
      </c>
      <c r="E163" t="s">
        <v>219</v>
      </c>
      <c r="F163" t="s">
        <v>224</v>
      </c>
      <c r="G163" t="s">
        <v>226</v>
      </c>
      <c r="H163" t="s">
        <v>231</v>
      </c>
      <c r="I163" t="s">
        <v>234</v>
      </c>
    </row>
    <row r="164" spans="1:9" x14ac:dyDescent="0.25">
      <c r="A164" t="s">
        <v>171</v>
      </c>
      <c r="B164" t="s">
        <v>207</v>
      </c>
      <c r="C164" t="s">
        <v>211</v>
      </c>
      <c r="D164" t="s">
        <v>217</v>
      </c>
      <c r="E164" t="s">
        <v>219</v>
      </c>
      <c r="F164" t="s">
        <v>222</v>
      </c>
      <c r="G164" t="s">
        <v>226</v>
      </c>
      <c r="H164" t="s">
        <v>230</v>
      </c>
      <c r="I164" t="s">
        <v>234</v>
      </c>
    </row>
    <row r="165" spans="1:9" x14ac:dyDescent="0.25">
      <c r="A165" t="s">
        <v>172</v>
      </c>
      <c r="B165" t="s">
        <v>210</v>
      </c>
      <c r="C165" t="s">
        <v>211</v>
      </c>
      <c r="D165" t="s">
        <v>217</v>
      </c>
      <c r="E165" t="s">
        <v>220</v>
      </c>
      <c r="F165" t="s">
        <v>225</v>
      </c>
      <c r="G165" t="s">
        <v>226</v>
      </c>
      <c r="H165" t="s">
        <v>230</v>
      </c>
      <c r="I165" t="s">
        <v>235</v>
      </c>
    </row>
    <row r="166" spans="1:9" x14ac:dyDescent="0.25">
      <c r="A166" t="s">
        <v>173</v>
      </c>
      <c r="B166" t="s">
        <v>208</v>
      </c>
      <c r="C166" t="s">
        <v>211</v>
      </c>
      <c r="D166" t="s">
        <v>216</v>
      </c>
      <c r="E166" t="s">
        <v>218</v>
      </c>
      <c r="F166" t="s">
        <v>223</v>
      </c>
      <c r="G166" t="s">
        <v>227</v>
      </c>
      <c r="H166" t="s">
        <v>230</v>
      </c>
      <c r="I166" t="s">
        <v>234</v>
      </c>
    </row>
    <row r="167" spans="1:9" x14ac:dyDescent="0.25">
      <c r="A167" t="s">
        <v>174</v>
      </c>
      <c r="B167" t="s">
        <v>208</v>
      </c>
      <c r="C167" t="s">
        <v>212</v>
      </c>
      <c r="D167" t="s">
        <v>214</v>
      </c>
      <c r="E167" t="s">
        <v>219</v>
      </c>
      <c r="F167" t="s">
        <v>224</v>
      </c>
      <c r="G167" t="s">
        <v>228</v>
      </c>
      <c r="H167" t="s">
        <v>230</v>
      </c>
      <c r="I167" t="s">
        <v>234</v>
      </c>
    </row>
    <row r="168" spans="1:9" x14ac:dyDescent="0.25">
      <c r="A168" t="s">
        <v>175</v>
      </c>
      <c r="B168" t="s">
        <v>207</v>
      </c>
      <c r="C168" t="s">
        <v>211</v>
      </c>
      <c r="D168" t="s">
        <v>217</v>
      </c>
      <c r="E168" t="s">
        <v>221</v>
      </c>
      <c r="F168" t="s">
        <v>222</v>
      </c>
      <c r="G168" t="s">
        <v>228</v>
      </c>
      <c r="H168" t="s">
        <v>230</v>
      </c>
      <c r="I168" t="s">
        <v>237</v>
      </c>
    </row>
    <row r="169" spans="1:9" x14ac:dyDescent="0.25">
      <c r="A169" t="s">
        <v>176</v>
      </c>
      <c r="B169" t="s">
        <v>209</v>
      </c>
      <c r="C169" t="s">
        <v>213</v>
      </c>
      <c r="D169" t="s">
        <v>214</v>
      </c>
      <c r="E169" t="s">
        <v>220</v>
      </c>
      <c r="F169" t="s">
        <v>222</v>
      </c>
      <c r="G169" t="s">
        <v>227</v>
      </c>
      <c r="H169" t="s">
        <v>230</v>
      </c>
      <c r="I169" t="s">
        <v>234</v>
      </c>
    </row>
    <row r="170" spans="1:9" x14ac:dyDescent="0.25">
      <c r="A170" t="s">
        <v>177</v>
      </c>
      <c r="B170" t="s">
        <v>207</v>
      </c>
      <c r="C170" t="s">
        <v>213</v>
      </c>
      <c r="D170" t="s">
        <v>214</v>
      </c>
      <c r="E170" t="s">
        <v>221</v>
      </c>
      <c r="F170" t="s">
        <v>225</v>
      </c>
      <c r="G170" t="s">
        <v>228</v>
      </c>
      <c r="H170" t="s">
        <v>230</v>
      </c>
      <c r="I170" t="s">
        <v>234</v>
      </c>
    </row>
    <row r="171" spans="1:9" x14ac:dyDescent="0.25">
      <c r="A171" t="s">
        <v>178</v>
      </c>
      <c r="B171" t="s">
        <v>207</v>
      </c>
      <c r="C171" t="s">
        <v>211</v>
      </c>
      <c r="D171" t="s">
        <v>214</v>
      </c>
      <c r="E171" t="s">
        <v>219</v>
      </c>
      <c r="F171" t="s">
        <v>222</v>
      </c>
      <c r="G171" t="s">
        <v>228</v>
      </c>
      <c r="H171" t="s">
        <v>231</v>
      </c>
      <c r="I171" t="s">
        <v>234</v>
      </c>
    </row>
    <row r="172" spans="1:9" x14ac:dyDescent="0.25">
      <c r="A172" t="s">
        <v>179</v>
      </c>
      <c r="B172" t="s">
        <v>207</v>
      </c>
      <c r="C172" t="s">
        <v>211</v>
      </c>
      <c r="D172" t="s">
        <v>214</v>
      </c>
      <c r="E172" t="s">
        <v>221</v>
      </c>
      <c r="F172" t="s">
        <v>222</v>
      </c>
      <c r="G172" t="s">
        <v>227</v>
      </c>
      <c r="H172" t="s">
        <v>230</v>
      </c>
      <c r="I172" t="s">
        <v>234</v>
      </c>
    </row>
    <row r="173" spans="1:9" x14ac:dyDescent="0.25">
      <c r="A173" t="s">
        <v>180</v>
      </c>
      <c r="B173" t="s">
        <v>210</v>
      </c>
      <c r="C173" t="s">
        <v>211</v>
      </c>
      <c r="D173" t="s">
        <v>217</v>
      </c>
      <c r="E173" t="s">
        <v>218</v>
      </c>
      <c r="F173" t="s">
        <v>224</v>
      </c>
      <c r="G173" t="s">
        <v>227</v>
      </c>
      <c r="H173" t="s">
        <v>230</v>
      </c>
      <c r="I173" t="s">
        <v>234</v>
      </c>
    </row>
    <row r="174" spans="1:9" x14ac:dyDescent="0.25">
      <c r="A174" t="s">
        <v>181</v>
      </c>
      <c r="B174" t="s">
        <v>209</v>
      </c>
      <c r="C174" t="s">
        <v>211</v>
      </c>
      <c r="D174" t="s">
        <v>216</v>
      </c>
      <c r="E174" t="s">
        <v>219</v>
      </c>
      <c r="F174" t="s">
        <v>222</v>
      </c>
      <c r="G174" t="s">
        <v>226</v>
      </c>
      <c r="H174" t="s">
        <v>230</v>
      </c>
      <c r="I174" t="s">
        <v>234</v>
      </c>
    </row>
    <row r="175" spans="1:9" x14ac:dyDescent="0.25">
      <c r="A175" t="s">
        <v>182</v>
      </c>
      <c r="B175" t="s">
        <v>208</v>
      </c>
      <c r="C175" t="s">
        <v>211</v>
      </c>
      <c r="D175" t="s">
        <v>217</v>
      </c>
      <c r="E175" t="s">
        <v>220</v>
      </c>
      <c r="F175" t="s">
        <v>222</v>
      </c>
      <c r="G175" t="s">
        <v>226</v>
      </c>
      <c r="H175" t="s">
        <v>230</v>
      </c>
      <c r="I175" t="s">
        <v>234</v>
      </c>
    </row>
    <row r="176" spans="1:9" x14ac:dyDescent="0.25">
      <c r="A176" t="s">
        <v>183</v>
      </c>
      <c r="B176" t="s">
        <v>207</v>
      </c>
      <c r="C176" t="s">
        <v>211</v>
      </c>
      <c r="D176" t="s">
        <v>216</v>
      </c>
      <c r="E176" t="s">
        <v>220</v>
      </c>
      <c r="F176" t="s">
        <v>225</v>
      </c>
      <c r="G176" t="s">
        <v>226</v>
      </c>
      <c r="H176" t="s">
        <v>230</v>
      </c>
      <c r="I176" t="s">
        <v>234</v>
      </c>
    </row>
    <row r="177" spans="1:9" x14ac:dyDescent="0.25">
      <c r="A177" t="s">
        <v>184</v>
      </c>
      <c r="B177" t="s">
        <v>210</v>
      </c>
      <c r="C177" t="s">
        <v>211</v>
      </c>
      <c r="D177" t="s">
        <v>214</v>
      </c>
      <c r="E177" t="s">
        <v>219</v>
      </c>
      <c r="F177" t="s">
        <v>225</v>
      </c>
      <c r="G177" t="s">
        <v>227</v>
      </c>
      <c r="H177" t="s">
        <v>230</v>
      </c>
      <c r="I177" t="s">
        <v>234</v>
      </c>
    </row>
    <row r="178" spans="1:9" x14ac:dyDescent="0.25">
      <c r="A178" t="s">
        <v>185</v>
      </c>
      <c r="B178" t="s">
        <v>209</v>
      </c>
      <c r="C178" t="s">
        <v>213</v>
      </c>
      <c r="D178" t="s">
        <v>215</v>
      </c>
      <c r="E178" t="s">
        <v>220</v>
      </c>
      <c r="F178" t="s">
        <v>222</v>
      </c>
      <c r="G178" t="s">
        <v>226</v>
      </c>
      <c r="H178" t="s">
        <v>231</v>
      </c>
      <c r="I178" t="s">
        <v>235</v>
      </c>
    </row>
    <row r="179" spans="1:9" x14ac:dyDescent="0.25">
      <c r="A179" t="s">
        <v>186</v>
      </c>
      <c r="B179" t="s">
        <v>207</v>
      </c>
      <c r="C179" t="s">
        <v>211</v>
      </c>
      <c r="D179" t="s">
        <v>217</v>
      </c>
      <c r="E179" t="s">
        <v>221</v>
      </c>
      <c r="F179" t="s">
        <v>222</v>
      </c>
      <c r="G179" t="s">
        <v>227</v>
      </c>
      <c r="H179" t="s">
        <v>230</v>
      </c>
      <c r="I179" t="s">
        <v>235</v>
      </c>
    </row>
    <row r="180" spans="1:9" x14ac:dyDescent="0.25">
      <c r="A180" t="s">
        <v>187</v>
      </c>
      <c r="B180" t="s">
        <v>207</v>
      </c>
      <c r="C180" t="s">
        <v>211</v>
      </c>
      <c r="D180" t="s">
        <v>214</v>
      </c>
      <c r="E180" t="s">
        <v>220</v>
      </c>
      <c r="F180" t="s">
        <v>225</v>
      </c>
      <c r="G180" t="s">
        <v>226</v>
      </c>
      <c r="H180" t="s">
        <v>230</v>
      </c>
      <c r="I180" t="s">
        <v>234</v>
      </c>
    </row>
    <row r="181" spans="1:9" x14ac:dyDescent="0.25">
      <c r="A181" t="s">
        <v>188</v>
      </c>
      <c r="B181" t="s">
        <v>207</v>
      </c>
      <c r="C181" t="s">
        <v>213</v>
      </c>
      <c r="D181" t="s">
        <v>214</v>
      </c>
      <c r="E181" t="s">
        <v>221</v>
      </c>
      <c r="F181" t="s">
        <v>225</v>
      </c>
      <c r="G181" t="s">
        <v>228</v>
      </c>
      <c r="H181" t="s">
        <v>230</v>
      </c>
      <c r="I181" t="s">
        <v>234</v>
      </c>
    </row>
    <row r="182" spans="1:9" x14ac:dyDescent="0.25">
      <c r="A182" t="s">
        <v>189</v>
      </c>
      <c r="B182" t="s">
        <v>208</v>
      </c>
      <c r="C182" t="s">
        <v>212</v>
      </c>
      <c r="D182" t="s">
        <v>214</v>
      </c>
      <c r="E182" t="s">
        <v>221</v>
      </c>
      <c r="F182" t="s">
        <v>224</v>
      </c>
      <c r="G182" t="s">
        <v>228</v>
      </c>
      <c r="H182" t="s">
        <v>230</v>
      </c>
      <c r="I182" t="s">
        <v>234</v>
      </c>
    </row>
    <row r="183" spans="1:9" x14ac:dyDescent="0.25">
      <c r="A183" t="s">
        <v>190</v>
      </c>
      <c r="B183" t="s">
        <v>208</v>
      </c>
      <c r="C183" t="s">
        <v>211</v>
      </c>
      <c r="D183" t="s">
        <v>214</v>
      </c>
      <c r="E183" t="s">
        <v>220</v>
      </c>
      <c r="F183" t="s">
        <v>223</v>
      </c>
      <c r="G183" t="s">
        <v>226</v>
      </c>
      <c r="H183" t="s">
        <v>232</v>
      </c>
      <c r="I183" t="s">
        <v>234</v>
      </c>
    </row>
    <row r="184" spans="1:9" x14ac:dyDescent="0.25">
      <c r="A184" t="s">
        <v>191</v>
      </c>
      <c r="B184" t="s">
        <v>208</v>
      </c>
      <c r="C184" t="s">
        <v>211</v>
      </c>
      <c r="D184" t="s">
        <v>214</v>
      </c>
      <c r="E184" t="s">
        <v>220</v>
      </c>
      <c r="F184" t="s">
        <v>225</v>
      </c>
      <c r="G184" t="s">
        <v>227</v>
      </c>
      <c r="H184" t="s">
        <v>230</v>
      </c>
      <c r="I184" t="s">
        <v>235</v>
      </c>
    </row>
    <row r="185" spans="1:9" x14ac:dyDescent="0.25">
      <c r="A185" t="s">
        <v>192</v>
      </c>
      <c r="B185" t="s">
        <v>207</v>
      </c>
      <c r="C185" t="s">
        <v>212</v>
      </c>
      <c r="D185" t="s">
        <v>216</v>
      </c>
      <c r="E185" t="s">
        <v>221</v>
      </c>
      <c r="F185" t="s">
        <v>224</v>
      </c>
      <c r="G185" t="s">
        <v>226</v>
      </c>
      <c r="H185" t="s">
        <v>230</v>
      </c>
      <c r="I185" t="s">
        <v>234</v>
      </c>
    </row>
    <row r="186" spans="1:9" x14ac:dyDescent="0.25">
      <c r="A186" t="s">
        <v>193</v>
      </c>
      <c r="B186" t="s">
        <v>209</v>
      </c>
      <c r="C186" t="s">
        <v>211</v>
      </c>
      <c r="D186" t="s">
        <v>215</v>
      </c>
      <c r="E186" t="s">
        <v>221</v>
      </c>
      <c r="F186" t="s">
        <v>222</v>
      </c>
      <c r="G186" t="s">
        <v>227</v>
      </c>
      <c r="H186" t="s">
        <v>230</v>
      </c>
      <c r="I186" t="s">
        <v>234</v>
      </c>
    </row>
    <row r="187" spans="1:9" x14ac:dyDescent="0.25">
      <c r="A187" t="s">
        <v>194</v>
      </c>
      <c r="B187" t="s">
        <v>208</v>
      </c>
      <c r="C187" t="s">
        <v>212</v>
      </c>
      <c r="D187" t="s">
        <v>214</v>
      </c>
      <c r="E187" t="s">
        <v>221</v>
      </c>
      <c r="F187" t="s">
        <v>224</v>
      </c>
      <c r="G187" t="s">
        <v>226</v>
      </c>
      <c r="H187" t="s">
        <v>230</v>
      </c>
      <c r="I187" t="s">
        <v>234</v>
      </c>
    </row>
    <row r="188" spans="1:9" x14ac:dyDescent="0.25">
      <c r="A188" t="s">
        <v>195</v>
      </c>
      <c r="B188" t="s">
        <v>207</v>
      </c>
      <c r="C188" t="s">
        <v>212</v>
      </c>
      <c r="D188" t="s">
        <v>214</v>
      </c>
      <c r="E188" t="s">
        <v>218</v>
      </c>
      <c r="F188" t="s">
        <v>224</v>
      </c>
      <c r="G188" t="s">
        <v>227</v>
      </c>
      <c r="H188" t="s">
        <v>230</v>
      </c>
      <c r="I188" t="s">
        <v>234</v>
      </c>
    </row>
    <row r="189" spans="1:9" x14ac:dyDescent="0.25">
      <c r="A189" t="s">
        <v>196</v>
      </c>
      <c r="B189" t="s">
        <v>209</v>
      </c>
      <c r="C189" t="s">
        <v>213</v>
      </c>
      <c r="D189" t="s">
        <v>214</v>
      </c>
      <c r="E189" t="s">
        <v>218</v>
      </c>
      <c r="F189" t="s">
        <v>225</v>
      </c>
      <c r="G189" t="s">
        <v>226</v>
      </c>
      <c r="H189" t="s">
        <v>230</v>
      </c>
      <c r="I189" t="s">
        <v>234</v>
      </c>
    </row>
    <row r="190" spans="1:9" x14ac:dyDescent="0.25">
      <c r="A190" t="s">
        <v>197</v>
      </c>
      <c r="B190" t="s">
        <v>208</v>
      </c>
      <c r="C190" t="s">
        <v>211</v>
      </c>
      <c r="D190" t="s">
        <v>216</v>
      </c>
      <c r="E190" t="s">
        <v>219</v>
      </c>
      <c r="F190" t="s">
        <v>223</v>
      </c>
      <c r="G190" t="s">
        <v>227</v>
      </c>
      <c r="H190" t="s">
        <v>230</v>
      </c>
      <c r="I190" t="s">
        <v>234</v>
      </c>
    </row>
    <row r="191" spans="1:9" x14ac:dyDescent="0.25">
      <c r="A191" t="s">
        <v>198</v>
      </c>
      <c r="B191" t="s">
        <v>210</v>
      </c>
      <c r="C191" t="s">
        <v>211</v>
      </c>
      <c r="D191" t="s">
        <v>216</v>
      </c>
      <c r="E191" t="s">
        <v>220</v>
      </c>
      <c r="F191" t="s">
        <v>225</v>
      </c>
      <c r="G191" t="s">
        <v>227</v>
      </c>
      <c r="H191" t="s">
        <v>230</v>
      </c>
      <c r="I191" t="s">
        <v>234</v>
      </c>
    </row>
    <row r="192" spans="1:9" x14ac:dyDescent="0.25">
      <c r="A192" t="s">
        <v>199</v>
      </c>
      <c r="B192" t="s">
        <v>208</v>
      </c>
      <c r="C192" t="s">
        <v>213</v>
      </c>
      <c r="D192" t="s">
        <v>214</v>
      </c>
      <c r="E192" t="s">
        <v>219</v>
      </c>
      <c r="F192" t="s">
        <v>223</v>
      </c>
      <c r="G192" t="s">
        <v>226</v>
      </c>
      <c r="H192" t="s">
        <v>231</v>
      </c>
      <c r="I192" t="s">
        <v>235</v>
      </c>
    </row>
    <row r="193" spans="1:9" x14ac:dyDescent="0.25">
      <c r="A193" t="s">
        <v>200</v>
      </c>
      <c r="B193" t="s">
        <v>207</v>
      </c>
      <c r="C193" t="s">
        <v>213</v>
      </c>
      <c r="D193" t="s">
        <v>217</v>
      </c>
      <c r="E193" t="s">
        <v>219</v>
      </c>
      <c r="F193" t="s">
        <v>225</v>
      </c>
      <c r="G193" t="s">
        <v>227</v>
      </c>
      <c r="H193" t="s">
        <v>230</v>
      </c>
      <c r="I193" t="s">
        <v>234</v>
      </c>
    </row>
    <row r="194" spans="1:9" x14ac:dyDescent="0.25">
      <c r="A194" t="s">
        <v>201</v>
      </c>
      <c r="B194" t="s">
        <v>207</v>
      </c>
      <c r="C194" t="s">
        <v>211</v>
      </c>
      <c r="D194" t="s">
        <v>217</v>
      </c>
      <c r="E194" t="s">
        <v>221</v>
      </c>
      <c r="F194" t="s">
        <v>225</v>
      </c>
      <c r="G194" t="s">
        <v>227</v>
      </c>
      <c r="H194" t="s">
        <v>230</v>
      </c>
      <c r="I194" t="s">
        <v>234</v>
      </c>
    </row>
    <row r="195" spans="1:9" x14ac:dyDescent="0.25">
      <c r="A195" t="s">
        <v>202</v>
      </c>
      <c r="B195" t="s">
        <v>207</v>
      </c>
      <c r="C195" t="s">
        <v>211</v>
      </c>
      <c r="D195" t="s">
        <v>214</v>
      </c>
      <c r="E195" t="s">
        <v>219</v>
      </c>
      <c r="F195" t="s">
        <v>224</v>
      </c>
      <c r="G195" t="s">
        <v>228</v>
      </c>
      <c r="H195" t="s">
        <v>230</v>
      </c>
      <c r="I195" t="s">
        <v>234</v>
      </c>
    </row>
    <row r="196" spans="1:9" x14ac:dyDescent="0.25">
      <c r="A196" t="s">
        <v>203</v>
      </c>
      <c r="B196" t="s">
        <v>210</v>
      </c>
      <c r="C196" t="s">
        <v>213</v>
      </c>
      <c r="D196" t="s">
        <v>214</v>
      </c>
      <c r="E196" t="s">
        <v>220</v>
      </c>
      <c r="F196" t="s">
        <v>222</v>
      </c>
      <c r="G196" t="s">
        <v>228</v>
      </c>
      <c r="H196" t="s">
        <v>232</v>
      </c>
      <c r="I196" t="s">
        <v>234</v>
      </c>
    </row>
    <row r="197" spans="1:9" x14ac:dyDescent="0.25">
      <c r="A197" t="s">
        <v>204</v>
      </c>
      <c r="B197" t="s">
        <v>208</v>
      </c>
      <c r="C197" t="s">
        <v>211</v>
      </c>
      <c r="D197" t="s">
        <v>217</v>
      </c>
      <c r="E197" t="s">
        <v>221</v>
      </c>
      <c r="F197" t="s">
        <v>225</v>
      </c>
      <c r="G197" t="s">
        <v>227</v>
      </c>
      <c r="H197" t="s">
        <v>232</v>
      </c>
      <c r="I197" t="s">
        <v>234</v>
      </c>
    </row>
    <row r="198" spans="1:9" x14ac:dyDescent="0.25">
      <c r="A198" t="s">
        <v>205</v>
      </c>
      <c r="B198" t="s">
        <v>208</v>
      </c>
      <c r="C198" t="s">
        <v>213</v>
      </c>
      <c r="D198" t="s">
        <v>214</v>
      </c>
      <c r="E198" t="s">
        <v>218</v>
      </c>
      <c r="F198" t="s">
        <v>225</v>
      </c>
      <c r="G198" t="s">
        <v>227</v>
      </c>
      <c r="H198" t="s">
        <v>230</v>
      </c>
      <c r="I198" t="s">
        <v>234</v>
      </c>
    </row>
    <row r="199" spans="1:9" x14ac:dyDescent="0.25">
      <c r="A199" t="s">
        <v>206</v>
      </c>
      <c r="B199" t="s">
        <v>209</v>
      </c>
      <c r="C199" t="s">
        <v>211</v>
      </c>
      <c r="D199" t="s">
        <v>217</v>
      </c>
      <c r="E199" t="s">
        <v>219</v>
      </c>
      <c r="F199" t="s">
        <v>224</v>
      </c>
      <c r="G199" t="s">
        <v>228</v>
      </c>
      <c r="H199" t="s">
        <v>230</v>
      </c>
      <c r="I199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4DA1-82AA-423E-A3F5-CDA991F8FE8D}">
  <dimension ref="E1:F20"/>
  <sheetViews>
    <sheetView topLeftCell="B1" workbookViewId="0">
      <selection activeCell="N10" sqref="N10"/>
    </sheetView>
  </sheetViews>
  <sheetFormatPr defaultRowHeight="15" x14ac:dyDescent="0.25"/>
  <sheetData>
    <row r="1" spans="5:6" ht="26.25" x14ac:dyDescent="0.25">
      <c r="F1" s="3" t="s">
        <v>241</v>
      </c>
    </row>
    <row r="3" spans="5:6" ht="15.75" x14ac:dyDescent="0.25">
      <c r="E3">
        <v>1</v>
      </c>
      <c r="F3" s="2" t="s">
        <v>238</v>
      </c>
    </row>
    <row r="4" spans="5:6" x14ac:dyDescent="0.25">
      <c r="F4">
        <f>COUNTA('Uterine Fibriod DataSet'!A:A)-1</f>
        <v>198</v>
      </c>
    </row>
    <row r="5" spans="5:6" x14ac:dyDescent="0.25">
      <c r="F5" t="s">
        <v>243</v>
      </c>
    </row>
    <row r="8" spans="5:6" ht="15.75" x14ac:dyDescent="0.25">
      <c r="E8">
        <v>2</v>
      </c>
      <c r="F8" s="2" t="s">
        <v>239</v>
      </c>
    </row>
    <row r="9" spans="5:6" ht="15.75" x14ac:dyDescent="0.25">
      <c r="F9" s="2">
        <f>COUNTIF('Uterine Fibriod DataSet'!$A$2:$A$199,'Uterine Fibriod DataSet'!A2)</f>
        <v>1</v>
      </c>
    </row>
    <row r="10" spans="5:6" x14ac:dyDescent="0.25">
      <c r="F10" t="s">
        <v>244</v>
      </c>
    </row>
    <row r="13" spans="5:6" ht="15.75" x14ac:dyDescent="0.25">
      <c r="E13">
        <v>3</v>
      </c>
      <c r="F13" s="2" t="s">
        <v>240</v>
      </c>
    </row>
    <row r="14" spans="5:6" x14ac:dyDescent="0.25">
      <c r="F14">
        <f>COUNTBLANK('Uterine Fibriod DataSet'!B1:B199)</f>
        <v>0</v>
      </c>
    </row>
    <row r="15" spans="5:6" x14ac:dyDescent="0.25">
      <c r="F15" t="s">
        <v>245</v>
      </c>
    </row>
    <row r="18" spans="5:6" ht="15.75" x14ac:dyDescent="0.25">
      <c r="E18">
        <v>4</v>
      </c>
      <c r="F18" s="4" t="s">
        <v>242</v>
      </c>
    </row>
    <row r="19" spans="5:6" x14ac:dyDescent="0.25">
      <c r="F19">
        <f>COUNTIFS('Uterine Fibriod DataSet'!B:B,"&lt;10",'Uterine Fibriod DataSet'!B:B,"&gt;0")+COUNTIF('Uterine Fibriod DataSet'!B:B,"&gt;100")</f>
        <v>0</v>
      </c>
    </row>
    <row r="20" spans="5:6" x14ac:dyDescent="0.25">
      <c r="F20" t="s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59D8-74C9-4180-A465-B773577E2047}">
  <dimension ref="A1:P19"/>
  <sheetViews>
    <sheetView topLeftCell="A2" workbookViewId="0">
      <selection activeCell="H17" sqref="H17"/>
    </sheetView>
  </sheetViews>
  <sheetFormatPr defaultRowHeight="15" x14ac:dyDescent="0.25"/>
  <cols>
    <col min="1" max="1" width="13.85546875" bestFit="1" customWidth="1"/>
    <col min="4" max="4" width="28.85546875" bestFit="1" customWidth="1"/>
    <col min="5" max="6" width="18.5703125" bestFit="1" customWidth="1"/>
    <col min="8" max="8" width="9.140625" customWidth="1"/>
    <col min="9" max="9" width="18.28515625" bestFit="1" customWidth="1"/>
    <col min="10" max="11" width="18.5703125" bestFit="1" customWidth="1"/>
  </cols>
  <sheetData>
    <row r="1" spans="1:16" ht="18.75" x14ac:dyDescent="0.3">
      <c r="F1" s="5" t="s">
        <v>247</v>
      </c>
    </row>
    <row r="4" spans="1:16" ht="18.75" x14ac:dyDescent="0.3">
      <c r="A4" s="9" t="s">
        <v>251</v>
      </c>
      <c r="F4" s="2" t="s">
        <v>252</v>
      </c>
      <c r="K4" s="2" t="s">
        <v>253</v>
      </c>
      <c r="P4">
        <v>3</v>
      </c>
    </row>
    <row r="5" spans="1:16" x14ac:dyDescent="0.25">
      <c r="A5" s="6" t="s">
        <v>248</v>
      </c>
      <c r="B5" t="s">
        <v>250</v>
      </c>
      <c r="F5" s="6" t="s">
        <v>248</v>
      </c>
      <c r="G5" t="s">
        <v>250</v>
      </c>
      <c r="K5" s="6" t="s">
        <v>248</v>
      </c>
      <c r="L5" t="s">
        <v>250</v>
      </c>
    </row>
    <row r="6" spans="1:16" x14ac:dyDescent="0.25">
      <c r="A6" s="7" t="s">
        <v>208</v>
      </c>
      <c r="B6" s="8">
        <v>52</v>
      </c>
      <c r="F6" s="7" t="s">
        <v>220</v>
      </c>
      <c r="G6" s="8">
        <v>50</v>
      </c>
      <c r="K6" s="7" t="s">
        <v>229</v>
      </c>
      <c r="L6" s="8">
        <v>3</v>
      </c>
    </row>
    <row r="7" spans="1:16" x14ac:dyDescent="0.25">
      <c r="A7" s="7" t="s">
        <v>207</v>
      </c>
      <c r="B7" s="8">
        <v>94</v>
      </c>
      <c r="F7" s="7" t="s">
        <v>218</v>
      </c>
      <c r="G7" s="8">
        <v>32</v>
      </c>
      <c r="K7" s="7" t="s">
        <v>226</v>
      </c>
      <c r="L7" s="8">
        <v>81</v>
      </c>
    </row>
    <row r="8" spans="1:16" x14ac:dyDescent="0.25">
      <c r="A8" s="7" t="s">
        <v>209</v>
      </c>
      <c r="B8" s="8">
        <v>31</v>
      </c>
      <c r="F8" s="7" t="s">
        <v>221</v>
      </c>
      <c r="G8" s="8">
        <v>40</v>
      </c>
      <c r="K8" s="7" t="s">
        <v>227</v>
      </c>
      <c r="L8" s="8">
        <v>70</v>
      </c>
    </row>
    <row r="9" spans="1:16" x14ac:dyDescent="0.25">
      <c r="A9" s="7" t="s">
        <v>210</v>
      </c>
      <c r="B9" s="8">
        <v>21</v>
      </c>
      <c r="F9" s="7" t="s">
        <v>219</v>
      </c>
      <c r="G9" s="8">
        <v>76</v>
      </c>
      <c r="K9" s="7" t="s">
        <v>228</v>
      </c>
      <c r="L9" s="8">
        <v>44</v>
      </c>
    </row>
    <row r="10" spans="1:16" x14ac:dyDescent="0.25">
      <c r="A10" s="7" t="s">
        <v>249</v>
      </c>
      <c r="B10" s="8">
        <v>198</v>
      </c>
      <c r="F10" s="7" t="s">
        <v>249</v>
      </c>
      <c r="G10" s="8">
        <v>198</v>
      </c>
      <c r="K10" s="7" t="s">
        <v>249</v>
      </c>
      <c r="L10" s="8">
        <v>198</v>
      </c>
    </row>
    <row r="13" spans="1:16" ht="18.75" x14ac:dyDescent="0.3">
      <c r="D13" s="9" t="s">
        <v>254</v>
      </c>
      <c r="I13" s="9" t="s">
        <v>255</v>
      </c>
    </row>
    <row r="14" spans="1:16" x14ac:dyDescent="0.25">
      <c r="D14" s="6" t="s">
        <v>248</v>
      </c>
      <c r="E14" t="s">
        <v>250</v>
      </c>
      <c r="I14" s="6" t="s">
        <v>248</v>
      </c>
      <c r="J14" t="s">
        <v>250</v>
      </c>
    </row>
    <row r="15" spans="1:16" x14ac:dyDescent="0.25">
      <c r="D15" s="7" t="s">
        <v>230</v>
      </c>
      <c r="E15" s="8">
        <v>165</v>
      </c>
      <c r="I15" s="7" t="s">
        <v>235</v>
      </c>
      <c r="J15" s="8">
        <v>41</v>
      </c>
    </row>
    <row r="16" spans="1:16" x14ac:dyDescent="0.25">
      <c r="D16" s="7" t="s">
        <v>232</v>
      </c>
      <c r="E16" s="8">
        <v>9</v>
      </c>
      <c r="I16" s="7" t="s">
        <v>234</v>
      </c>
      <c r="J16" s="8">
        <v>141</v>
      </c>
    </row>
    <row r="17" spans="4:10" x14ac:dyDescent="0.25">
      <c r="D17" s="7" t="s">
        <v>231</v>
      </c>
      <c r="E17" s="8">
        <v>23</v>
      </c>
      <c r="I17" s="7" t="s">
        <v>236</v>
      </c>
      <c r="J17" s="8">
        <v>4</v>
      </c>
    </row>
    <row r="18" spans="4:10" x14ac:dyDescent="0.25">
      <c r="D18" s="7" t="s">
        <v>233</v>
      </c>
      <c r="E18" s="8">
        <v>1</v>
      </c>
      <c r="I18" s="7" t="s">
        <v>237</v>
      </c>
      <c r="J18" s="8">
        <v>12</v>
      </c>
    </row>
    <row r="19" spans="4:10" x14ac:dyDescent="0.25">
      <c r="D19" s="7" t="s">
        <v>249</v>
      </c>
      <c r="E19" s="8">
        <v>198</v>
      </c>
      <c r="I19" s="7" t="s">
        <v>249</v>
      </c>
      <c r="J19" s="8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Uterine Fibriod DataSet</vt:lpstr>
      <vt:lpstr>Data Quality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2026-05-27T21:53:43Z</dcterms:created>
  <dcterms:modified xsi:type="dcterms:W3CDTF">2026-06-17T03:32:40Z</dcterms:modified>
</cp:coreProperties>
</file>